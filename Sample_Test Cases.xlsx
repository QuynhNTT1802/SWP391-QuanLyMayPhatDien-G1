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report" sheetId="1" r:id="rId5"/>
    <sheet state="visible" name="Test Case" sheetId="2" r:id="rId6"/>
  </sheets>
  <definedNames>
    <definedName name="ACTION_1">#REF!</definedName>
    <definedName name="OLE_LINK31">#REF!</definedName>
    <definedName name="OLE_LINK43">#REF!</definedName>
    <definedName name="Excel_BuiltIn__FilterDatabase_1">#REF!</definedName>
    <definedName name="ACTION">#REF!</definedName>
    <definedName name="OLE_LINK41">#REF!</definedName>
    <definedName name="Excel_BuiltIn__FilterDatabase">#REF!</definedName>
  </definedNames>
  <calcPr/>
</workbook>
</file>

<file path=xl/sharedStrings.xml><?xml version="1.0" encoding="utf-8"?>
<sst xmlns="http://schemas.openxmlformats.org/spreadsheetml/2006/main" count="88" uniqueCount="67">
  <si>
    <t>TEST REPORT</t>
  </si>
  <si>
    <t>Build #</t>
  </si>
  <si>
    <t>Sub Module</t>
  </si>
  <si>
    <t>Hours cost/ device</t>
  </si>
  <si>
    <t>Hours cost/ 5 devices</t>
  </si>
  <si>
    <t>System test environemnt</t>
  </si>
  <si>
    <t>Pass</t>
  </si>
  <si>
    <t>Fail</t>
  </si>
  <si>
    <t>Untest</t>
  </si>
  <si>
    <t>N/A</t>
  </si>
  <si>
    <t>Number of  sub test cases</t>
  </si>
  <si>
    <t>Number of  runs on all devices</t>
  </si>
  <si>
    <t>1.0</t>
  </si>
  <si>
    <t>GUI flows</t>
  </si>
  <si>
    <t>Hybrid applications</t>
  </si>
  <si>
    <t>Sub total</t>
  </si>
  <si>
    <t>Test coverage</t>
  </si>
  <si>
    <t>%</t>
  </si>
  <si>
    <t>Test successful coverage</t>
  </si>
  <si>
    <t>ID</t>
  </si>
  <si>
    <t>Test Case Description</t>
  </si>
  <si>
    <t>Pre -Condition</t>
  </si>
  <si>
    <t>Test Case Procedure</t>
  </si>
  <si>
    <t>Expected Output</t>
  </si>
  <si>
    <t>Actual Output</t>
  </si>
  <si>
    <t>Bug#</t>
  </si>
  <si>
    <t xml:space="preserve">Add new product success
</t>
  </si>
  <si>
    <t>- Can visit web
- Login system with role Staff</t>
  </si>
  <si>
    <t>1. Chọn sản phẩm có trong danh mục sản phẩm
2. Chọn nhóm SP và PL SP trên màn hình
3. Nhập tên sản phẩm là "CPU Intel Core I7"
….
16 Click chuột vào nút thêm sản phẩm</t>
  </si>
  <si>
    <t>Thêm sản phẩm Intel Core I7 thành công</t>
  </si>
  <si>
    <t>TC-01</t>
  </si>
  <si>
    <t>TC-02</t>
  </si>
  <si>
    <t>TC-03</t>
  </si>
  <si>
    <t>TC-04</t>
  </si>
  <si>
    <t>Enter negative liquidation price</t>
  </si>
  <si>
    <t>- Logged in as Warehouse 
- A liquidation exists in status Pending Warehouse Manager Approval</t>
  </si>
  <si>
    <t xml:space="preserve">1. Login as Warehouse Staff → create a liquidation with 1 serial (SN-001) → status "Pending Manager Approval"
2. Logout → login as Warehouse Manager → open the liquidation
3. In the price field, test the following inputs:
   a. Type the minus sign "-" directly
   b. Paste "-500000" using Ctrl+V
   c. Paste "-500000" using right-click → Paste
</t>
  </si>
  <si>
    <t>- Typing "-": System blocks the character, no input is registered
- Pasting "-500000": System displays error "Liquidation price cannot be negative" and rejects the value</t>
  </si>
  <si>
    <t>When typing the minus sign -, the system automatically removes it, keeping only 500000. No error is shown, and the liquidation is saved successfully</t>
  </si>
  <si>
    <t>TC-05</t>
  </si>
  <si>
    <t>Leave liquidation price empty</t>
  </si>
  <si>
    <t xml:space="preserve">Phase 1: Create liquidation
1. Login as Warehouse Staff → navigate to Liquidation Management → click "Create New"
2. Select Warehouse: "Hà Nội" and Reason: "Severe damage"
3. Select 2 model generator EG4500CX → click "Save"
4. System creates liquidation with status "Pending Manager Approval"
Phase 2: Test empty price validation
5. Switch user: Logout → login as Warehouse Manager
6. Access the created liquidation from the list
7. Scenario 1: In the first row, leave price field empty. In the second row, enter price "1000000"
8. Click "Save Price &amp; Submit for Approval"
10. Scenario 2: Enter price "500000" for the first row, then clear/delete the price in the second row (leave it empty)
11. Click "Save Price &amp; Submit for Approval" again
</t>
  </si>
  <si>
    <t>- Scenario 1 (Step 8-9): Browser validation triggers - the empty price field is highlighted with a tooltip message "Please fill out this field". The form cannot be submitted. Customer selection step is never reached.
- Scenario 2 (Step 11-12): System displays an error message: "Please enter liquidation price for all rows". The empty field is highlighted, and the form remains on the same page until all rows have valid prices entered.</t>
  </si>
  <si>
    <t>TC-06</t>
  </si>
  <si>
    <t>Select duplicate serial when creating liquidation</t>
  </si>
  <si>
    <t>- Logged in as Warehouse Staff
- Serial EG4500CX is already in an existing liquidation with status "Pending Manager Approval" (created in previous test)</t>
  </si>
  <si>
    <t>TC-07</t>
  </si>
  <si>
    <t>TC-08</t>
  </si>
  <si>
    <t>TC-09</t>
  </si>
  <si>
    <t>TC-10</t>
  </si>
  <si>
    <t>TC-11</t>
  </si>
  <si>
    <t>TC-12</t>
  </si>
  <si>
    <t>TC-13</t>
  </si>
  <si>
    <t>CEO permanently rejects the liquidation order</t>
  </si>
  <si>
    <t>- Can access the web
- Logged in with role CEO
- At least 1 liquidation order exists with status PENDING_CEO
- That order contains at least 1 serial number in status PENDING_LIQUIDATION</t>
  </si>
  <si>
    <t>1. Navigate to /liquidations&lt;br&gt;2. Filter list by status = PENDING_CEO&lt;br&gt;3. Click on a pending liquidation order to open detail page (action=detail&amp;id=&lt;id&gt;)&lt;br&gt;4. In the CEO action panel, select "Từ chối vĩnh viễn" (Permanent reject)&lt;br&gt;5. Choose a reason in the CEO Reject Reason dropdown (ceoFeedbackId)&lt;br&gt;6. Click the Reject button&lt;br&gt;7. Submit form via POST /liquidations with action=reject_ceo, liquidationId, ceoFeedbackId</t>
  </si>
  <si>
    <t>- liquidation.status updated to REJECTED_BY_CEO&lt;br&gt;- ceo_reviewed_by = current CEO id, ceo_reviewed_at = now&lt;br&gt;- ceo_feedback_id = selected reason id&lt;br&gt;- All serials in liquidation_detail are unlocked: inventory.status returns from PENDING_LIQUIDATION → IN_STOCK&lt;br&gt;- Activity log written: action='REJECTED_BY_CEO'&lt;br&gt;- Notification sent to the order creator: "CEO từ chối đơn thanh lý"&lt;br&gt;- Redirect to detail page → status badge shows REJECTED_BY_CEO</t>
  </si>
  <si>
    <t>TC-14</t>
  </si>
  <si>
    <t>CEO requests the warehouse manager to edit and resubmit the liquidation order</t>
  </si>
  <si>
    <t>1. Navigate to /liquidations&lt;br&gt;2. Filter list by status = PENDING_CEO&lt;br&gt;3. Open detail page of a pending order&lt;br&gt;4. In the CEO action panel, select "Yêu cầu sửa" (Request edit)&lt;br&gt;5. Choose a reason in the CEO Request-Edit Reason dropdown (ceoFeedbackId)&lt;br&gt;6. Click the Request Edit button&lt;br&gt;7. Submit form via POST /liquidations with action=request_edit_ceo, liquidationId, ceoFeedbackId</t>
  </si>
  <si>
    <t>- liquidation.status updated to CEO_REQUEST_EDIT&lt;br&gt;- ceo_reviewed_by = current CEO id, ceo_reviewed_at = now&lt;br&gt;- ceo_feedback_id = selected reason id&lt;br&gt;- All serials stay in PENDING_LIQUIDATION (NOT unlocked back to IN_STOCK)&lt;br&gt;- Activity log written: action='CEO_REQUEST_EDIT'&lt;br&gt;- Notification sent to the order creator: "CEO yêu cầu sửa đơn thanh lý"&lt;br&gt;- Detail page enters Edit Mode (inline editing visible because isEditMode = true for CEO_REQUEST_EDIT)</t>
  </si>
  <si>
    <t>TC-15</t>
  </si>
  <si>
    <t>Warehouse staff updates the details/price after CEO's edit request and resubmits the order for CEO approval again</t>
  </si>
  <si>
    <t>- Can access the web
- Logged in with role Warehouse Staff (has liquidations.create permission)
- At least 1 liquidation order exists with status CEO_REQUEST_EDIT
- That order belongs to the same warehouse as before (so existing serials are still PENDING_LIQUIDATION)</t>
  </si>
  <si>
    <t>1. Navigate to /liquidations&lt;br&gt;2. Filter list by status = CEO_REQUEST_EDIT&lt;br&gt;3. Open detail page of the order → page loads in Edit Mode (inline form for selecting serials + editing prices)&lt;br&gt;4. Optionally: uncheck some serials, check new serials from the same warehouse, change liquidationPrice values&lt;br&gt;5. Update reasonId if needed&lt;br&gt;6. Click the Submit button (action edit_submit)&lt;br&gt;7. Form posts to POST /liquidations with action=edit_submit, liquidationId, reasonId, warehouseId, generatorId[], serialNumber[], liquidationPrice[], customerId</t>
  </si>
  <si>
    <t>- Old serials in the order are released back to IN_STOCK&lt;br&gt;- Newly selected serials are claimed: IN_STOCK → PENDING_LIQUIDATION (must all succeed; otherwise rollback with error message listing bad serials)&lt;br&gt;- liquidation_detail table is cleared and re-inserted with new serials/prices (original_price re-fetched from purchaseOrderDAO.findApprovedUnitPriceByGenerator, liquidation_price = new value)&lt;br&gt;- liquidation.status updated to PENDING_CEO&lt;br&gt;- liquidation.reason_id, warehouse_id, customer_id updated&lt;br&gt;- All previous feedback fields (manager_feedback_id, ceo_feedback_id, reviewers, timestamps) cleared to NULL&lt;br&gt;- liquidation.updated_at = now&lt;br&gt;- Activity log written: action='EDIT_SUBMIT'&lt;br&gt;- Notification sent to all users with liquidations.approve_ceo: "Đơn thanh lý … đã được sửa lại — chờ Sếp duyệt"&lt;br&gt;- Redirect to detail page → status badge shows PENDING_CEO, detail rows reflect new serials/prices</t>
  </si>
  <si>
    <t>TC-16</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</si>
</sst>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rgb="FF000000"/>
      <name val="MS PGothic"/>
      <scheme val="minor"/>
    </font>
    <font>
      <sz val="8.0"/>
      <color theme="1"/>
      <name val="Tahoma"/>
    </font>
    <font>
      <b/>
      <sz val="8.0"/>
      <color rgb="FFFF0000"/>
      <name val="Tahoma"/>
    </font>
    <font>
      <b/>
      <sz val="11.0"/>
      <color rgb="FF000000"/>
      <name val="Tahoma"/>
    </font>
    <font/>
    <font>
      <b/>
      <sz val="8.0"/>
      <color rgb="FF993300"/>
      <name val="Tahoma"/>
    </font>
    <font>
      <i/>
      <sz val="8.0"/>
      <color rgb="FF008000"/>
      <name val="Tahoma"/>
    </font>
    <font>
      <sz val="10.0"/>
      <color theme="1"/>
      <name val="Tahoma"/>
    </font>
    <font>
      <b/>
      <sz val="8.0"/>
      <color rgb="FFFFFFFF"/>
      <name val="Tahoma"/>
    </font>
    <font>
      <sz val="11.0"/>
      <color theme="1"/>
      <name val="Tahoma"/>
    </font>
    <font>
      <u/>
      <sz val="8.0"/>
      <color rgb="FF0000FF"/>
      <name val="Tahoma"/>
    </font>
    <font>
      <sz val="8.0"/>
      <color rgb="FFFFFFFF"/>
      <name val="Tahoma"/>
    </font>
    <font>
      <b/>
      <sz val="10.0"/>
      <color rgb="FF993300"/>
      <name val="Tahoma"/>
    </font>
    <font>
      <b/>
      <sz val="8.0"/>
      <color rgb="FF0000FF"/>
      <name val="Tahoma"/>
    </font>
    <font>
      <sz val="10.0"/>
      <color rgb="FF000000"/>
      <name val="Tahoma"/>
    </font>
    <font>
      <b/>
      <sz val="10.0"/>
      <color rgb="FF0000FF"/>
      <name val="Tahoma"/>
    </font>
    <font>
      <sz val="11.0"/>
      <color theme="1"/>
      <name val="MS PGothic"/>
    </font>
    <font>
      <sz val="11.0"/>
      <color rgb="FF000000"/>
      <name val="Calibri"/>
    </font>
  </fonts>
  <fills count="7">
    <fill>
      <patternFill patternType="none"/>
    </fill>
    <fill>
      <patternFill patternType="lightGray"/>
    </fill>
    <fill>
      <patternFill patternType="solid">
        <fgColor rgb="FF000080"/>
        <bgColor rgb="FF000080"/>
      </patternFill>
    </fill>
    <fill>
      <patternFill patternType="solid">
        <fgColor rgb="FFFFC000"/>
        <bgColor rgb="FFFFC000"/>
      </patternFill>
    </fill>
    <fill>
      <patternFill patternType="solid">
        <fgColor rgb="FF9AEC62"/>
        <bgColor rgb="FF9AEC62"/>
      </patternFill>
    </fill>
    <fill>
      <patternFill patternType="solid">
        <fgColor theme="0"/>
        <bgColor theme="0"/>
      </patternFill>
    </fill>
    <fill>
      <patternFill patternType="solid">
        <fgColor rgb="FFFFFFFF"/>
        <bgColor rgb="FFFF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000000"/>
      </left>
      <right/>
      <top style="hair">
        <color rgb="FF000000"/>
      </top>
      <bottom style="hair">
        <color rgb="FF000000"/>
      </bottom>
    </border>
    <border>
      <left style="thin">
        <color rgb="FF000000"/>
      </left>
      <right style="thin">
        <color rgb="FF000000"/>
      </right>
      <top style="thin">
        <color rgb="FF000000"/>
      </top>
      <bottom style="thin">
        <color rgb="FF000000"/>
      </bottom>
    </border>
    <border>
      <left style="hair">
        <color rgb="FF000000"/>
      </left>
      <top style="hair">
        <color rgb="FF000000"/>
      </top>
      <bottom style="hair">
        <color rgb="FF000000"/>
      </bottom>
    </border>
    <border>
      <left style="thin">
        <color rgb="FF000000"/>
      </left>
      <right style="thin">
        <color rgb="FF000000"/>
      </right>
      <top/>
      <bottom style="thin">
        <color rgb="FF000000"/>
      </bottom>
    </border>
    <border>
      <left/>
      <right style="hair">
        <color rgb="FF000000"/>
      </right>
      <top/>
      <bottom style="hair">
        <color rgb="FF000000"/>
      </bottom>
    </border>
    <border>
      <left style="hair">
        <color rgb="FF000000"/>
      </left>
      <right style="hair">
        <color rgb="FF000000"/>
      </right>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0" fillId="0" fontId="2" numFmtId="0" xfId="0" applyAlignment="1" applyFont="1">
      <alignment horizontal="center" vertical="center"/>
    </xf>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0" fillId="0" fontId="5" numFmtId="0" xfId="0" applyAlignment="1" applyFont="1">
      <alignment horizontal="left"/>
    </xf>
    <xf borderId="0" fillId="0" fontId="6" numFmtId="0" xfId="0" applyAlignment="1" applyFont="1">
      <alignment horizontal="left"/>
    </xf>
    <xf borderId="0" fillId="0" fontId="7" numFmtId="0" xfId="0" applyFont="1"/>
    <xf borderId="4" fillId="2" fontId="8" numFmtId="0" xfId="0" applyAlignment="1" applyBorder="1" applyFill="1" applyFont="1">
      <alignment horizontal="center"/>
    </xf>
    <xf borderId="5" fillId="2" fontId="8" numFmtId="0" xfId="0" applyAlignment="1" applyBorder="1" applyFont="1">
      <alignment horizontal="center"/>
    </xf>
    <xf borderId="5" fillId="2" fontId="8" numFmtId="0" xfId="0" applyAlignment="1" applyBorder="1" applyFont="1">
      <alignment horizontal="center" shrinkToFit="0" wrapText="1"/>
    </xf>
    <xf borderId="5" fillId="2" fontId="8" numFmtId="0" xfId="0" applyAlignment="1" applyBorder="1" applyFont="1">
      <alignment shrinkToFit="0" wrapText="1"/>
    </xf>
    <xf borderId="0" fillId="0" fontId="9" numFmtId="0" xfId="0" applyFont="1"/>
    <xf borderId="6" fillId="0" fontId="1" numFmtId="49" xfId="0" applyAlignment="1" applyBorder="1" applyFont="1" applyNumberFormat="1">
      <alignment horizontal="left"/>
    </xf>
    <xf borderId="5" fillId="0" fontId="10" numFmtId="0" xfId="0" applyAlignment="1" applyBorder="1" applyFont="1">
      <alignment horizontal="left"/>
    </xf>
    <xf borderId="5" fillId="0" fontId="1" numFmtId="0" xfId="0" applyAlignment="1" applyBorder="1" applyFont="1">
      <alignment horizontal="center"/>
    </xf>
    <xf borderId="1" fillId="0" fontId="1" numFmtId="0" xfId="0" applyAlignment="1" applyBorder="1" applyFont="1">
      <alignment horizontal="center"/>
    </xf>
    <xf borderId="4" fillId="2" fontId="11" numFmtId="0" xfId="0" applyAlignment="1" applyBorder="1" applyFont="1">
      <alignment horizontal="center"/>
    </xf>
    <xf borderId="7" fillId="2" fontId="8" numFmtId="0" xfId="0" applyBorder="1" applyFont="1"/>
    <xf borderId="8" fillId="2" fontId="8" numFmtId="0" xfId="0" applyBorder="1" applyFont="1"/>
    <xf borderId="9" fillId="2" fontId="11" numFmtId="0" xfId="0" applyAlignment="1" applyBorder="1" applyFont="1">
      <alignment horizontal="center"/>
    </xf>
    <xf borderId="0" fillId="0" fontId="7" numFmtId="0" xfId="0" applyAlignment="1" applyFont="1">
      <alignment horizontal="center"/>
    </xf>
    <xf borderId="0" fillId="0" fontId="7" numFmtId="10" xfId="0" applyAlignment="1" applyFont="1" applyNumberFormat="1">
      <alignment horizontal="center"/>
    </xf>
    <xf borderId="0" fillId="0" fontId="7" numFmtId="9" xfId="0" applyAlignment="1" applyFont="1" applyNumberFormat="1">
      <alignment horizontal="center"/>
    </xf>
    <xf borderId="0" fillId="0" fontId="12" numFmtId="0" xfId="0" applyAlignment="1" applyFont="1">
      <alignment horizontal="left"/>
    </xf>
    <xf borderId="0" fillId="0" fontId="13" numFmtId="2" xfId="0" applyAlignment="1" applyFont="1" applyNumberFormat="1">
      <alignment horizontal="right" shrinkToFit="0" wrapText="1"/>
    </xf>
    <xf borderId="0" fillId="0" fontId="14" numFmtId="0" xfId="0" applyAlignment="1" applyFont="1">
      <alignment horizontal="center" shrinkToFit="0" wrapText="1"/>
    </xf>
    <xf borderId="0" fillId="0" fontId="15" numFmtId="2" xfId="0" applyAlignment="1" applyFont="1" applyNumberFormat="1">
      <alignment horizontal="right" shrinkToFit="0" wrapText="1"/>
    </xf>
    <xf borderId="10" fillId="2" fontId="8" numFmtId="0" xfId="0" applyAlignment="1" applyBorder="1" applyFont="1">
      <alignment horizontal="center" shrinkToFit="0" vertical="center" wrapText="1"/>
    </xf>
    <xf borderId="10" fillId="2" fontId="8" numFmtId="0" xfId="0" applyAlignment="1" applyBorder="1" applyFont="1">
      <alignment horizontal="center" readingOrder="0" shrinkToFit="0" vertical="center" wrapText="1"/>
    </xf>
    <xf borderId="10" fillId="3" fontId="2" numFmtId="0" xfId="0" applyAlignment="1" applyBorder="1" applyFill="1" applyFont="1">
      <alignment horizontal="center" shrinkToFit="0" wrapText="1"/>
    </xf>
    <xf borderId="10" fillId="0" fontId="2" numFmtId="0" xfId="0" applyAlignment="1" applyBorder="1" applyFont="1">
      <alignment horizontal="center" shrinkToFit="0" wrapText="1"/>
    </xf>
    <xf borderId="10" fillId="4" fontId="1" numFmtId="0" xfId="0" applyAlignment="1" applyBorder="1" applyFill="1" applyFont="1">
      <alignment horizontal="left" shrinkToFit="0" vertical="top" wrapText="1"/>
    </xf>
    <xf quotePrefix="1" borderId="10" fillId="4" fontId="1" numFmtId="0" xfId="0" applyAlignment="1" applyBorder="1" applyFont="1">
      <alignment horizontal="left" shrinkToFit="0" vertical="top" wrapText="1"/>
    </xf>
    <xf borderId="10" fillId="0" fontId="16" numFmtId="0" xfId="0" applyAlignment="1" applyBorder="1" applyFont="1">
      <alignment vertical="top"/>
    </xf>
    <xf borderId="0" fillId="0" fontId="17" numFmtId="0" xfId="0" applyAlignment="1" applyFont="1">
      <alignment horizontal="left" readingOrder="0" shrinkToFit="0" wrapText="1"/>
    </xf>
    <xf borderId="10" fillId="5" fontId="1" numFmtId="0" xfId="0" applyAlignment="1" applyBorder="1" applyFill="1" applyFont="1">
      <alignment horizontal="left" shrinkToFit="0" vertical="top" wrapText="1"/>
    </xf>
    <xf borderId="10" fillId="6" fontId="16" numFmtId="0" xfId="0" applyAlignment="1" applyBorder="1" applyFill="1" applyFont="1">
      <alignment vertical="top"/>
    </xf>
    <xf borderId="10" fillId="0" fontId="1" numFmtId="0" xfId="0" applyAlignment="1" applyBorder="1" applyFont="1">
      <alignment horizontal="left" shrinkToFit="0" vertical="top" wrapText="1"/>
    </xf>
    <xf borderId="10" fillId="0" fontId="1" numFmtId="0" xfId="0" applyAlignment="1" applyBorder="1" applyFont="1">
      <alignment horizontal="left" readingOrder="0" shrinkToFit="0" vertical="top" wrapText="1"/>
    </xf>
    <xf borderId="10" fillId="5" fontId="1" numFmtId="0" xfId="0" applyAlignment="1" applyBorder="1" applyFont="1">
      <alignment horizontal="left" readingOrder="0" shrinkToFit="0" vertical="top" wrapText="1"/>
    </xf>
    <xf borderId="10" fillId="0" fontId="1" numFmtId="0" xfId="0" applyAlignment="1" applyBorder="1" applyFont="1">
      <alignment readingOrder="0" shrinkToFit="0" vertical="top" wrapText="1"/>
    </xf>
    <xf borderId="10" fillId="0" fontId="1" numFmtId="0" xfId="0" applyAlignment="1" applyBorder="1" applyFont="1">
      <alignment shrinkToFit="0" vertical="top" wrapText="1"/>
    </xf>
    <xf borderId="11" fillId="0" fontId="1" numFmtId="0" xfId="0" applyAlignment="1" applyBorder="1" applyFont="1">
      <alignment horizontal="left" shrinkToFit="0" vertical="top" wrapText="1"/>
    </xf>
    <xf borderId="10" fillId="0" fontId="16" numFmtId="0" xfId="0" applyAlignment="1" applyBorder="1" applyFont="1">
      <alignment vertical="top"/>
    </xf>
    <xf borderId="12" fillId="0" fontId="4" numFmtId="0" xfId="0" applyBorder="1" applyFont="1"/>
    <xf borderId="0" fillId="0" fontId="1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90575" cy="7334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2.25"/>
    <col customWidth="1" min="2" max="2" width="10.38"/>
    <col customWidth="1" min="3" max="3" width="31.38"/>
    <col customWidth="1" hidden="1" min="4" max="4" width="13.13"/>
    <col customWidth="1" hidden="1" min="5" max="5" width="10.5"/>
    <col customWidth="1" min="6" max="6" width="11.13"/>
    <col customWidth="1" min="7" max="7" width="7.0"/>
    <col customWidth="1" min="8" max="8" width="5.88"/>
    <col customWidth="1" min="9" max="9" width="6.0"/>
    <col customWidth="1" min="10" max="10" width="5.0"/>
    <col customWidth="1" min="11" max="11" width="11.25"/>
    <col customWidth="1" min="12" max="12" width="13.0"/>
    <col customWidth="1" min="13" max="26" width="9.13"/>
  </cols>
  <sheetData>
    <row r="1" ht="13.5" customHeight="1">
      <c r="A1" s="1"/>
      <c r="B1" s="2"/>
      <c r="C1" s="1"/>
      <c r="D1" s="1"/>
      <c r="E1" s="1"/>
      <c r="F1" s="1"/>
      <c r="G1" s="1"/>
      <c r="H1" s="1"/>
      <c r="I1" s="1"/>
      <c r="J1" s="1"/>
      <c r="K1" s="1"/>
      <c r="L1" s="1"/>
      <c r="M1" s="1"/>
      <c r="N1" s="1"/>
      <c r="O1" s="1"/>
      <c r="P1" s="1"/>
      <c r="Q1" s="1"/>
      <c r="R1" s="1"/>
      <c r="S1" s="1"/>
      <c r="T1" s="1"/>
      <c r="U1" s="1"/>
      <c r="V1" s="1"/>
      <c r="W1" s="1"/>
      <c r="X1" s="1"/>
      <c r="Y1" s="1"/>
      <c r="Z1" s="1"/>
    </row>
    <row r="2" ht="59.25" customHeight="1">
      <c r="A2" s="3"/>
      <c r="B2" s="4"/>
      <c r="C2" s="5" t="s">
        <v>0</v>
      </c>
      <c r="D2" s="6"/>
      <c r="E2" s="6"/>
      <c r="F2" s="6"/>
      <c r="G2" s="6"/>
      <c r="H2" s="6"/>
      <c r="I2" s="6"/>
      <c r="J2" s="6"/>
      <c r="K2" s="6"/>
      <c r="L2" s="7"/>
      <c r="M2" s="8"/>
      <c r="N2" s="8"/>
      <c r="O2" s="8"/>
      <c r="P2" s="8"/>
      <c r="Q2" s="8"/>
      <c r="R2" s="8"/>
      <c r="S2" s="8"/>
      <c r="T2" s="8"/>
      <c r="U2" s="8"/>
      <c r="V2" s="8"/>
      <c r="W2" s="8"/>
      <c r="X2" s="8"/>
      <c r="Y2" s="8"/>
      <c r="Z2" s="8"/>
    </row>
    <row r="3" ht="13.5" customHeight="1">
      <c r="A3" s="1"/>
      <c r="B3" s="9"/>
      <c r="C3" s="10"/>
      <c r="D3" s="10"/>
      <c r="E3" s="10"/>
      <c r="F3" s="10"/>
      <c r="G3" s="1"/>
      <c r="H3" s="1"/>
      <c r="I3" s="1"/>
      <c r="J3" s="1"/>
      <c r="K3" s="1"/>
      <c r="L3" s="1"/>
      <c r="M3" s="1"/>
      <c r="N3" s="1"/>
      <c r="O3" s="1"/>
      <c r="P3" s="1"/>
      <c r="Q3" s="1"/>
      <c r="R3" s="1"/>
      <c r="S3" s="1"/>
      <c r="T3" s="1"/>
      <c r="U3" s="1"/>
      <c r="V3" s="1"/>
      <c r="W3" s="1"/>
      <c r="X3" s="1"/>
      <c r="Y3" s="1"/>
      <c r="Z3" s="1"/>
    </row>
    <row r="4" ht="24.75" customHeight="1">
      <c r="A4" s="11"/>
      <c r="B4" s="12" t="s">
        <v>1</v>
      </c>
      <c r="C4" s="13" t="s">
        <v>2</v>
      </c>
      <c r="D4" s="14" t="s">
        <v>3</v>
      </c>
      <c r="E4" s="14" t="s">
        <v>4</v>
      </c>
      <c r="F4" s="15" t="s">
        <v>5</v>
      </c>
      <c r="G4" s="14" t="s">
        <v>6</v>
      </c>
      <c r="H4" s="13" t="s">
        <v>7</v>
      </c>
      <c r="I4" s="13" t="s">
        <v>8</v>
      </c>
      <c r="J4" s="13" t="s">
        <v>9</v>
      </c>
      <c r="K4" s="14" t="s">
        <v>10</v>
      </c>
      <c r="L4" s="14" t="s">
        <v>11</v>
      </c>
      <c r="M4" s="16"/>
      <c r="N4" s="16"/>
      <c r="O4" s="16"/>
      <c r="P4" s="16"/>
      <c r="Q4" s="16"/>
      <c r="R4" s="16"/>
      <c r="S4" s="16"/>
      <c r="T4" s="16"/>
      <c r="U4" s="16"/>
      <c r="V4" s="16"/>
      <c r="W4" s="16"/>
      <c r="X4" s="16"/>
      <c r="Y4" s="16"/>
      <c r="Z4" s="16"/>
    </row>
    <row r="5" ht="13.5" customHeight="1">
      <c r="A5" s="11"/>
      <c r="B5" s="17" t="s">
        <v>12</v>
      </c>
      <c r="C5" s="18" t="s">
        <v>13</v>
      </c>
      <c r="D5" s="19">
        <v>2.0</v>
      </c>
      <c r="E5" s="19">
        <f t="shared" ref="E5:E6" si="1">D5*5</f>
        <v>10</v>
      </c>
      <c r="F5" s="19" t="str">
        <f>ROUND(COUNTIF(#REF!,"Pass")*100/(K5-COUNTIF(#REF!,"N/A")),2)</f>
        <v>#REF!</v>
      </c>
      <c r="G5" s="19" t="str">
        <f>COUNTIF(#REF!,"Pass")</f>
        <v>#REF!</v>
      </c>
      <c r="H5" s="19" t="str">
        <f>COUNTIF(#REF!,"Fail")</f>
        <v>#REF!</v>
      </c>
      <c r="I5" s="19" t="str">
        <f>COUNTIF(#REF!,"Untest")</f>
        <v>#REF!</v>
      </c>
      <c r="J5" s="19" t="str">
        <f>COUNTIF(#REF!,"N/A")</f>
        <v>#REF!</v>
      </c>
      <c r="K5" s="19">
        <f>COUNTA(#REF!)</f>
        <v>1</v>
      </c>
      <c r="L5" s="19">
        <f>COUNTA(#REF!)*5</f>
        <v>5</v>
      </c>
      <c r="M5" s="16"/>
      <c r="N5" s="16"/>
      <c r="O5" s="16"/>
      <c r="P5" s="16"/>
      <c r="Q5" s="16"/>
      <c r="R5" s="16"/>
      <c r="S5" s="16"/>
      <c r="T5" s="16"/>
      <c r="U5" s="16"/>
      <c r="V5" s="16"/>
      <c r="W5" s="16"/>
      <c r="X5" s="16"/>
      <c r="Y5" s="16"/>
      <c r="Z5" s="16"/>
    </row>
    <row r="6" ht="13.5" customHeight="1">
      <c r="A6" s="11"/>
      <c r="B6" s="17" t="s">
        <v>12</v>
      </c>
      <c r="C6" s="18" t="s">
        <v>14</v>
      </c>
      <c r="D6" s="19">
        <v>2.5</v>
      </c>
      <c r="E6" s="19">
        <f t="shared" si="1"/>
        <v>12.5</v>
      </c>
      <c r="F6" s="19">
        <f>ROUND((COUNTIF(#REF!,"Pass")*100)/(K6-COUNTIF(#REF!,"N/A")),2)</f>
        <v>0</v>
      </c>
      <c r="G6" s="19">
        <f>COUNTIF(#REF!,"Pass")</f>
        <v>0</v>
      </c>
      <c r="H6" s="19">
        <f>COUNTIF(#REF!,"Fail")</f>
        <v>0</v>
      </c>
      <c r="I6" s="19">
        <f>COUNTIF(#REF!,"Untest")</f>
        <v>0</v>
      </c>
      <c r="J6" s="19">
        <f>COUNTIF(#REF!,"N/A")</f>
        <v>0</v>
      </c>
      <c r="K6" s="19">
        <f>COUNTA('Test Case'!$A$2:$A$952)</f>
        <v>17</v>
      </c>
      <c r="L6" s="19">
        <f>COUNTA('Test Case'!$A$2:$A$952)*5</f>
        <v>85</v>
      </c>
      <c r="M6" s="16"/>
      <c r="N6" s="16"/>
      <c r="O6" s="16"/>
      <c r="P6" s="16"/>
      <c r="Q6" s="16"/>
      <c r="R6" s="16"/>
      <c r="S6" s="16"/>
      <c r="T6" s="16"/>
      <c r="U6" s="16"/>
      <c r="V6" s="16"/>
      <c r="W6" s="16"/>
      <c r="X6" s="16"/>
      <c r="Y6" s="16"/>
      <c r="Z6" s="16"/>
    </row>
    <row r="7" ht="13.5" customHeight="1">
      <c r="A7" s="11"/>
      <c r="B7" s="17" t="s">
        <v>12</v>
      </c>
      <c r="C7" s="18"/>
      <c r="D7" s="19"/>
      <c r="E7" s="19"/>
      <c r="F7" s="19"/>
      <c r="G7" s="19"/>
      <c r="H7" s="19"/>
      <c r="I7" s="19"/>
      <c r="J7" s="19"/>
      <c r="K7" s="19"/>
      <c r="L7" s="19"/>
      <c r="M7" s="16"/>
      <c r="N7" s="16"/>
      <c r="O7" s="16"/>
      <c r="P7" s="16"/>
      <c r="Q7" s="16"/>
      <c r="R7" s="16"/>
      <c r="S7" s="16"/>
      <c r="T7" s="16"/>
      <c r="U7" s="16"/>
      <c r="V7" s="16"/>
      <c r="W7" s="16"/>
      <c r="X7" s="16"/>
      <c r="Y7" s="16"/>
      <c r="Z7" s="16"/>
    </row>
    <row r="8" ht="13.5" customHeight="1">
      <c r="A8" s="11"/>
      <c r="B8" s="17" t="s">
        <v>12</v>
      </c>
      <c r="C8" s="18"/>
      <c r="D8" s="19"/>
      <c r="E8" s="19"/>
      <c r="F8" s="19"/>
      <c r="G8" s="19"/>
      <c r="H8" s="19"/>
      <c r="I8" s="19"/>
      <c r="J8" s="19"/>
      <c r="K8" s="19"/>
      <c r="L8" s="19"/>
      <c r="M8" s="16"/>
      <c r="N8" s="16"/>
      <c r="O8" s="16"/>
      <c r="P8" s="16"/>
      <c r="Q8" s="16"/>
      <c r="R8" s="16"/>
      <c r="S8" s="16"/>
      <c r="T8" s="16"/>
      <c r="U8" s="16"/>
      <c r="V8" s="16"/>
      <c r="W8" s="16"/>
      <c r="X8" s="16"/>
      <c r="Y8" s="16"/>
      <c r="Z8" s="16"/>
    </row>
    <row r="9" ht="13.5" customHeight="1">
      <c r="A9" s="11"/>
      <c r="B9" s="17" t="s">
        <v>12</v>
      </c>
      <c r="C9" s="18"/>
      <c r="D9" s="19"/>
      <c r="E9" s="19"/>
      <c r="F9" s="19"/>
      <c r="G9" s="19"/>
      <c r="H9" s="19"/>
      <c r="I9" s="19"/>
      <c r="J9" s="19"/>
      <c r="K9" s="19"/>
      <c r="L9" s="19"/>
      <c r="M9" s="16"/>
      <c r="N9" s="16"/>
      <c r="O9" s="16"/>
      <c r="P9" s="16"/>
      <c r="Q9" s="16"/>
      <c r="R9" s="16"/>
      <c r="S9" s="16"/>
      <c r="T9" s="16"/>
      <c r="U9" s="16"/>
      <c r="V9" s="16"/>
      <c r="W9" s="16"/>
      <c r="X9" s="16"/>
      <c r="Y9" s="16"/>
      <c r="Z9" s="16"/>
    </row>
    <row r="10" ht="13.5" customHeight="1">
      <c r="A10" s="11"/>
      <c r="B10" s="17" t="s">
        <v>12</v>
      </c>
      <c r="C10" s="18"/>
      <c r="D10" s="19"/>
      <c r="E10" s="19"/>
      <c r="F10" s="19"/>
      <c r="G10" s="19"/>
      <c r="H10" s="19"/>
      <c r="I10" s="19"/>
      <c r="J10" s="19"/>
      <c r="K10" s="19"/>
      <c r="L10" s="19"/>
      <c r="M10" s="16"/>
      <c r="N10" s="16"/>
      <c r="O10" s="16"/>
      <c r="P10" s="16"/>
      <c r="Q10" s="16"/>
      <c r="R10" s="16"/>
      <c r="S10" s="16"/>
      <c r="T10" s="16"/>
      <c r="U10" s="16"/>
      <c r="V10" s="16"/>
      <c r="W10" s="16"/>
      <c r="X10" s="16"/>
      <c r="Y10" s="16"/>
      <c r="Z10" s="16"/>
    </row>
    <row r="11" ht="13.5" customHeight="1">
      <c r="A11" s="11"/>
      <c r="B11" s="17" t="s">
        <v>12</v>
      </c>
      <c r="C11" s="18"/>
      <c r="D11" s="19"/>
      <c r="E11" s="19"/>
      <c r="F11" s="19"/>
      <c r="G11" s="19"/>
      <c r="H11" s="19"/>
      <c r="I11" s="19"/>
      <c r="J11" s="19"/>
      <c r="K11" s="19"/>
      <c r="L11" s="19"/>
      <c r="M11" s="16"/>
      <c r="N11" s="16"/>
      <c r="O11" s="16"/>
      <c r="P11" s="16"/>
      <c r="Q11" s="16"/>
      <c r="R11" s="16"/>
      <c r="S11" s="16"/>
      <c r="T11" s="16"/>
      <c r="U11" s="16"/>
      <c r="V11" s="16"/>
      <c r="W11" s="16"/>
      <c r="X11" s="16"/>
      <c r="Y11" s="16"/>
      <c r="Z11" s="16"/>
    </row>
    <row r="12" ht="13.5" customHeight="1">
      <c r="A12" s="11"/>
      <c r="B12" s="17" t="s">
        <v>12</v>
      </c>
      <c r="C12" s="18"/>
      <c r="D12" s="19"/>
      <c r="E12" s="19"/>
      <c r="F12" s="19"/>
      <c r="G12" s="19"/>
      <c r="H12" s="19"/>
      <c r="I12" s="19"/>
      <c r="J12" s="19"/>
      <c r="K12" s="19"/>
      <c r="L12" s="19"/>
      <c r="M12" s="16"/>
      <c r="N12" s="16"/>
      <c r="O12" s="16"/>
      <c r="P12" s="16"/>
      <c r="Q12" s="16"/>
      <c r="R12" s="16"/>
      <c r="S12" s="16"/>
      <c r="T12" s="16"/>
      <c r="U12" s="16"/>
      <c r="V12" s="16"/>
      <c r="W12" s="16"/>
      <c r="X12" s="16"/>
      <c r="Y12" s="16"/>
      <c r="Z12" s="16"/>
    </row>
    <row r="13" ht="13.5" customHeight="1">
      <c r="A13" s="11"/>
      <c r="B13" s="17" t="s">
        <v>12</v>
      </c>
      <c r="C13" s="18"/>
      <c r="D13" s="19"/>
      <c r="E13" s="19"/>
      <c r="F13" s="19"/>
      <c r="G13" s="19"/>
      <c r="H13" s="19"/>
      <c r="I13" s="19"/>
      <c r="J13" s="19"/>
      <c r="K13" s="19"/>
      <c r="L13" s="19"/>
      <c r="M13" s="16"/>
      <c r="N13" s="16"/>
      <c r="O13" s="16"/>
      <c r="P13" s="16"/>
      <c r="Q13" s="16"/>
      <c r="R13" s="16"/>
      <c r="S13" s="16"/>
      <c r="T13" s="16"/>
      <c r="U13" s="16"/>
      <c r="V13" s="16"/>
      <c r="W13" s="16"/>
      <c r="X13" s="16"/>
      <c r="Y13" s="16"/>
      <c r="Z13" s="16"/>
    </row>
    <row r="14" ht="13.5" customHeight="1">
      <c r="A14" s="11"/>
      <c r="B14" s="17" t="s">
        <v>12</v>
      </c>
      <c r="C14" s="18"/>
      <c r="D14" s="19"/>
      <c r="E14" s="19"/>
      <c r="F14" s="19"/>
      <c r="G14" s="19"/>
      <c r="H14" s="19"/>
      <c r="I14" s="19"/>
      <c r="J14" s="19"/>
      <c r="K14" s="19"/>
      <c r="L14" s="19"/>
      <c r="M14" s="16"/>
      <c r="N14" s="16"/>
      <c r="O14" s="16"/>
      <c r="P14" s="16"/>
      <c r="Q14" s="16"/>
      <c r="R14" s="16"/>
      <c r="S14" s="16"/>
      <c r="T14" s="16"/>
      <c r="U14" s="16"/>
      <c r="V14" s="16"/>
      <c r="W14" s="16"/>
      <c r="X14" s="16"/>
      <c r="Y14" s="16"/>
      <c r="Z14" s="16"/>
    </row>
    <row r="15" ht="13.5" customHeight="1">
      <c r="A15" s="11"/>
      <c r="B15" s="17" t="s">
        <v>12</v>
      </c>
      <c r="C15" s="18"/>
      <c r="D15" s="19"/>
      <c r="E15" s="19"/>
      <c r="F15" s="19"/>
      <c r="G15" s="19"/>
      <c r="H15" s="19"/>
      <c r="I15" s="19"/>
      <c r="J15" s="19"/>
      <c r="K15" s="19"/>
      <c r="L15" s="19"/>
      <c r="M15" s="16"/>
      <c r="N15" s="16"/>
      <c r="O15" s="16"/>
      <c r="P15" s="16"/>
      <c r="Q15" s="16"/>
      <c r="R15" s="16"/>
      <c r="S15" s="16"/>
      <c r="T15" s="16"/>
      <c r="U15" s="16"/>
      <c r="V15" s="16"/>
      <c r="W15" s="16"/>
      <c r="X15" s="16"/>
      <c r="Y15" s="16"/>
      <c r="Z15" s="16"/>
    </row>
    <row r="16" ht="13.5" customHeight="1">
      <c r="A16" s="11"/>
      <c r="B16" s="17" t="s">
        <v>12</v>
      </c>
      <c r="C16" s="18"/>
      <c r="D16" s="19"/>
      <c r="E16" s="19"/>
      <c r="F16" s="19"/>
      <c r="G16" s="19"/>
      <c r="H16" s="19"/>
      <c r="I16" s="19"/>
      <c r="J16" s="19"/>
      <c r="K16" s="19"/>
      <c r="L16" s="19"/>
      <c r="M16" s="16"/>
      <c r="N16" s="16"/>
      <c r="O16" s="16"/>
      <c r="P16" s="16"/>
      <c r="Q16" s="16"/>
      <c r="R16" s="16"/>
      <c r="S16" s="16"/>
      <c r="T16" s="16"/>
      <c r="U16" s="16"/>
      <c r="V16" s="16"/>
      <c r="W16" s="16"/>
      <c r="X16" s="16"/>
      <c r="Y16" s="16"/>
      <c r="Z16" s="16"/>
    </row>
    <row r="17" ht="13.5" customHeight="1">
      <c r="A17" s="11"/>
      <c r="B17" s="17" t="s">
        <v>12</v>
      </c>
      <c r="C17" s="18"/>
      <c r="D17" s="19"/>
      <c r="E17" s="19"/>
      <c r="F17" s="19"/>
      <c r="G17" s="19"/>
      <c r="H17" s="19"/>
      <c r="I17" s="19"/>
      <c r="J17" s="19"/>
      <c r="K17" s="19"/>
      <c r="L17" s="19"/>
      <c r="M17" s="16"/>
      <c r="N17" s="16"/>
      <c r="O17" s="16"/>
      <c r="P17" s="16"/>
      <c r="Q17" s="16"/>
      <c r="R17" s="16"/>
      <c r="S17" s="16"/>
      <c r="T17" s="16"/>
      <c r="U17" s="16"/>
      <c r="V17" s="16"/>
      <c r="W17" s="16"/>
      <c r="X17" s="16"/>
      <c r="Y17" s="16"/>
      <c r="Z17" s="16"/>
    </row>
    <row r="18" ht="15.0" customHeight="1">
      <c r="A18" s="11"/>
      <c r="B18" s="17" t="s">
        <v>12</v>
      </c>
      <c r="C18" s="18"/>
      <c r="D18" s="19"/>
      <c r="E18" s="19"/>
      <c r="F18" s="19"/>
      <c r="G18" s="19"/>
      <c r="H18" s="19"/>
      <c r="I18" s="19"/>
      <c r="J18" s="19"/>
      <c r="K18" s="19"/>
      <c r="L18" s="19"/>
      <c r="M18" s="16"/>
      <c r="N18" s="16"/>
      <c r="O18" s="16"/>
      <c r="P18" s="16"/>
      <c r="Q18" s="16"/>
      <c r="R18" s="16"/>
      <c r="S18" s="16"/>
      <c r="T18" s="16"/>
      <c r="U18" s="16"/>
      <c r="V18" s="16"/>
      <c r="W18" s="16"/>
      <c r="X18" s="16"/>
      <c r="Y18" s="16"/>
      <c r="Z18" s="16"/>
    </row>
    <row r="19" ht="13.5" customHeight="1">
      <c r="A19" s="11"/>
      <c r="B19" s="17" t="s">
        <v>12</v>
      </c>
      <c r="C19" s="18"/>
      <c r="D19" s="19"/>
      <c r="E19" s="19"/>
      <c r="F19" s="19"/>
      <c r="G19" s="19"/>
      <c r="H19" s="19"/>
      <c r="I19" s="19"/>
      <c r="J19" s="19"/>
      <c r="K19" s="19"/>
      <c r="L19" s="19"/>
      <c r="M19" s="16"/>
      <c r="N19" s="16"/>
      <c r="O19" s="16"/>
      <c r="P19" s="16"/>
      <c r="Q19" s="16"/>
      <c r="R19" s="16"/>
      <c r="S19" s="16"/>
      <c r="T19" s="16"/>
      <c r="U19" s="16"/>
      <c r="V19" s="16"/>
      <c r="W19" s="16"/>
      <c r="X19" s="16"/>
      <c r="Y19" s="16"/>
      <c r="Z19" s="16"/>
    </row>
    <row r="20" ht="13.5" customHeight="1">
      <c r="A20" s="11"/>
      <c r="B20" s="17" t="s">
        <v>12</v>
      </c>
      <c r="C20" s="18"/>
      <c r="D20" s="19"/>
      <c r="E20" s="19"/>
      <c r="F20" s="20"/>
      <c r="G20" s="19"/>
      <c r="H20" s="19"/>
      <c r="I20" s="19"/>
      <c r="J20" s="19"/>
      <c r="K20" s="19"/>
      <c r="L20" s="19"/>
      <c r="M20" s="16"/>
      <c r="N20" s="16"/>
      <c r="O20" s="16"/>
      <c r="P20" s="16"/>
      <c r="Q20" s="16"/>
      <c r="R20" s="16"/>
      <c r="S20" s="16"/>
      <c r="T20" s="16"/>
      <c r="U20" s="16"/>
      <c r="V20" s="16"/>
      <c r="W20" s="16"/>
      <c r="X20" s="16"/>
      <c r="Y20" s="16"/>
      <c r="Z20" s="16"/>
    </row>
    <row r="21" ht="13.5" customHeight="1">
      <c r="A21" s="11"/>
      <c r="B21" s="17" t="s">
        <v>12</v>
      </c>
      <c r="C21" s="18"/>
      <c r="D21" s="19"/>
      <c r="E21" s="19"/>
      <c r="F21" s="20"/>
      <c r="G21" s="19"/>
      <c r="H21" s="19"/>
      <c r="I21" s="19"/>
      <c r="J21" s="19"/>
      <c r="K21" s="19"/>
      <c r="L21" s="19"/>
      <c r="M21" s="16"/>
      <c r="N21" s="16"/>
      <c r="O21" s="16"/>
      <c r="P21" s="16"/>
      <c r="Q21" s="16"/>
      <c r="R21" s="16"/>
      <c r="S21" s="16"/>
      <c r="T21" s="16"/>
      <c r="U21" s="16"/>
      <c r="V21" s="16"/>
      <c r="W21" s="16"/>
      <c r="X21" s="16"/>
      <c r="Y21" s="16"/>
      <c r="Z21" s="16"/>
    </row>
    <row r="22" ht="13.5" customHeight="1">
      <c r="A22" s="11"/>
      <c r="B22" s="17" t="s">
        <v>12</v>
      </c>
      <c r="C22" s="18"/>
      <c r="D22" s="19"/>
      <c r="E22" s="19"/>
      <c r="F22" s="20"/>
      <c r="G22" s="19"/>
      <c r="H22" s="19"/>
      <c r="I22" s="19"/>
      <c r="J22" s="19"/>
      <c r="K22" s="19"/>
      <c r="L22" s="19"/>
      <c r="M22" s="16"/>
      <c r="N22" s="16"/>
      <c r="O22" s="16"/>
      <c r="P22" s="16"/>
      <c r="Q22" s="16"/>
      <c r="R22" s="16"/>
      <c r="S22" s="16"/>
      <c r="T22" s="16"/>
      <c r="U22" s="16"/>
      <c r="V22" s="16"/>
      <c r="W22" s="16"/>
      <c r="X22" s="16"/>
      <c r="Y22" s="16"/>
      <c r="Z22" s="16"/>
    </row>
    <row r="23" ht="13.5" customHeight="1">
      <c r="A23" s="11"/>
      <c r="B23" s="21"/>
      <c r="C23" s="22" t="s">
        <v>15</v>
      </c>
      <c r="D23" s="22">
        <f t="shared" ref="D23:E23" si="2">SUM(D5:D21)</f>
        <v>4.5</v>
      </c>
      <c r="E23" s="22">
        <f t="shared" si="2"/>
        <v>22.5</v>
      </c>
      <c r="F23" s="23"/>
      <c r="G23" s="24" t="str">
        <f t="shared" ref="G23:L23" si="3">SUM(G5:G21)</f>
        <v>#REF!</v>
      </c>
      <c r="H23" s="24" t="str">
        <f t="shared" si="3"/>
        <v>#REF!</v>
      </c>
      <c r="I23" s="24" t="str">
        <f t="shared" si="3"/>
        <v>#REF!</v>
      </c>
      <c r="J23" s="24" t="str">
        <f t="shared" si="3"/>
        <v>#REF!</v>
      </c>
      <c r="K23" s="24">
        <f t="shared" si="3"/>
        <v>18</v>
      </c>
      <c r="L23" s="24">
        <f t="shared" si="3"/>
        <v>90</v>
      </c>
      <c r="M23" s="16"/>
      <c r="N23" s="16"/>
      <c r="O23" s="16"/>
      <c r="P23" s="16"/>
      <c r="Q23" s="16"/>
      <c r="R23" s="16"/>
      <c r="S23" s="16"/>
      <c r="T23" s="16"/>
      <c r="U23" s="16"/>
      <c r="V23" s="16"/>
      <c r="W23" s="16"/>
      <c r="X23" s="16"/>
      <c r="Y23" s="16"/>
      <c r="Z23" s="16"/>
    </row>
    <row r="24" ht="13.5" customHeight="1">
      <c r="A24" s="11"/>
      <c r="B24" s="25"/>
      <c r="C24" s="11"/>
      <c r="D24" s="11"/>
      <c r="E24" s="11"/>
      <c r="F24" s="11"/>
      <c r="G24" s="26"/>
      <c r="H24" s="27"/>
      <c r="I24" s="27"/>
      <c r="J24" s="27"/>
      <c r="K24" s="27"/>
      <c r="L24" s="27"/>
      <c r="M24" s="16"/>
      <c r="N24" s="16"/>
      <c r="O24" s="16"/>
      <c r="P24" s="16"/>
      <c r="Q24" s="16"/>
      <c r="R24" s="16"/>
      <c r="S24" s="16"/>
      <c r="T24" s="16"/>
      <c r="U24" s="16"/>
      <c r="V24" s="16"/>
      <c r="W24" s="16"/>
      <c r="X24" s="16"/>
      <c r="Y24" s="16"/>
      <c r="Z24" s="16"/>
    </row>
    <row r="25" ht="13.5" customHeight="1">
      <c r="A25" s="11"/>
      <c r="B25" s="11"/>
      <c r="C25" s="28" t="s">
        <v>16</v>
      </c>
      <c r="D25" s="28"/>
      <c r="E25" s="28"/>
      <c r="F25" s="28"/>
      <c r="G25" s="11"/>
      <c r="H25" s="29"/>
      <c r="I25" s="11" t="s">
        <v>17</v>
      </c>
      <c r="J25" s="11"/>
      <c r="K25" s="11"/>
      <c r="L25" s="30"/>
      <c r="M25" s="11"/>
      <c r="N25" s="11"/>
      <c r="O25" s="11"/>
      <c r="P25" s="11"/>
      <c r="Q25" s="11"/>
      <c r="R25" s="11"/>
      <c r="S25" s="11"/>
      <c r="T25" s="11"/>
      <c r="U25" s="11"/>
      <c r="V25" s="11"/>
      <c r="W25" s="11"/>
      <c r="X25" s="11"/>
      <c r="Y25" s="11"/>
      <c r="Z25" s="11"/>
    </row>
    <row r="26" ht="13.5" customHeight="1">
      <c r="A26" s="11"/>
      <c r="B26" s="11"/>
      <c r="C26" s="28" t="s">
        <v>18</v>
      </c>
      <c r="D26" s="28"/>
      <c r="E26" s="28"/>
      <c r="F26" s="28"/>
      <c r="G26" s="11"/>
      <c r="H26" s="29"/>
      <c r="I26" s="11" t="s">
        <v>17</v>
      </c>
      <c r="J26" s="11"/>
      <c r="K26" s="11"/>
      <c r="L26" s="30"/>
      <c r="M26" s="11"/>
      <c r="N26" s="11"/>
      <c r="O26" s="11"/>
      <c r="P26" s="11"/>
      <c r="Q26" s="11"/>
      <c r="R26" s="11"/>
      <c r="S26" s="11"/>
      <c r="T26" s="11"/>
      <c r="U26" s="11"/>
      <c r="V26" s="11"/>
      <c r="W26" s="11"/>
      <c r="X26" s="11"/>
      <c r="Y26" s="11"/>
      <c r="Z26" s="11"/>
    </row>
    <row r="27" ht="15.0" customHeight="1">
      <c r="A27" s="11"/>
      <c r="B27" s="11"/>
      <c r="C27" s="11"/>
      <c r="D27" s="11"/>
      <c r="E27" s="11"/>
      <c r="F27" s="11"/>
      <c r="G27" s="11"/>
      <c r="H27" s="31"/>
      <c r="I27" s="11"/>
      <c r="J27" s="11"/>
      <c r="K27" s="11"/>
      <c r="L27" s="30"/>
      <c r="M27" s="16"/>
      <c r="N27" s="16"/>
      <c r="O27" s="16"/>
      <c r="P27" s="16"/>
      <c r="Q27" s="16"/>
      <c r="R27" s="16"/>
      <c r="S27" s="16"/>
      <c r="T27" s="16"/>
      <c r="U27" s="16"/>
      <c r="V27" s="16"/>
      <c r="W27" s="16"/>
      <c r="X27" s="16"/>
      <c r="Y27" s="16"/>
      <c r="Z27" s="16"/>
    </row>
    <row r="28" ht="13.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3.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3.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3.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3.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3.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3.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3.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3.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3.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3.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3.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3.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3.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3.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3.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3.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3.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3.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3.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3.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3.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3.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3.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3.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3.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3.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3.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3.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3.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3.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3.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3.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3.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3.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3.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3.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3.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3.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3.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3.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3.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3.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3.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3.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3.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3.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3.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3.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3.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3.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3.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3.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3.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3.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3.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3.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3.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3.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3.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3.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3.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3.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3.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3.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3.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3.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3.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3.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3.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3.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3.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3.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3.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3.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3.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3.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3.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3.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3.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3.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3.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3.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3.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3.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3.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3.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3.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3.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3.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3.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3.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3.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3.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3.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3.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3.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3.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3.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3.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3.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3.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3.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3.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3.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3.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3.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3.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3.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3.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3.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3.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3.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3.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3.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3.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3.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3.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3.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3.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3.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3.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3.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3.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3.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3.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3.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3.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3.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3.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3.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3.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3.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3.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3.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3.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3.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3.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3.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3.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3.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3.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3.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3.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3.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3.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3.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3.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3.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3.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3.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3.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3.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3.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3.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3.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3.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3.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3.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3.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3.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3.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3.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3.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3.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3.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3.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3.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3.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3.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3.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3.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3.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3.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3.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3.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3.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3.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3.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3.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3.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3.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3.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3.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3.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3.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3.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3.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3.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3.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3.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3.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3.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3.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3.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3.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3.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3.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3.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3.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3.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3.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3.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3.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3.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3.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3.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3.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3.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3.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3.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3.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3.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3.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3.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3.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3.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3.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3.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3.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3.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3.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3.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3.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3.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3.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3.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3.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3.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3.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3.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3.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3.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3.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3.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3.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3.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3.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3.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3.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3.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3.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3.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3.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3.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3.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3.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3.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3.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3.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3.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3.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3.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3.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3.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3.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3.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3.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3.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3.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3.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3.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3.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3.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3.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3.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3.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3.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3.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3.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3.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3.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3.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3.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3.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3.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3.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3.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3.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3.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3.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3.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3.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3.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3.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3.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3.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3.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3.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3.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3.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3.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3.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3.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3.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3.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3.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3.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3.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3.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3.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3.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3.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3.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3.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3.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3.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3.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3.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3.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3.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3.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3.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3.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3.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3.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3.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3.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3.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3.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3.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3.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3.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3.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3.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3.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3.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3.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3.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3.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3.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3.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3.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3.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3.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3.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3.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3.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3.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3.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3.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3.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3.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3.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3.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3.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3.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3.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3.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3.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3.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3.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3.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3.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3.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3.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3.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3.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3.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3.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3.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3.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3.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3.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3.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3.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3.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3.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3.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3.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3.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3.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3.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3.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3.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3.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3.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3.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3.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3.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3.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3.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3.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3.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3.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3.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3.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3.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3.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3.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3.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3.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3.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3.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3.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3.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3.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3.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3.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3.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3.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3.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3.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3.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3.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3.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3.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3.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3.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3.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3.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3.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3.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3.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3.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3.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3.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3.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3.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3.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3.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3.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3.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3.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3.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3.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3.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3.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3.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3.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3.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3.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3.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3.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3.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3.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3.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3.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3.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3.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3.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3.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3.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3.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3.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3.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3.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3.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3.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3.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3.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3.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3.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3.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3.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3.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3.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3.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3.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3.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3.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3.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3.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3.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3.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3.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3.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3.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3.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3.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3.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3.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3.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3.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3.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3.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3.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3.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3.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3.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3.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3.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3.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3.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3.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3.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3.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3.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3.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3.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3.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3.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3.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3.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3.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3.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3.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3.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3.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3.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3.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3.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3.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3.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3.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3.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3.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3.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3.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3.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3.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3.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3.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3.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3.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3.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3.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3.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3.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3.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3.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3.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3.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3.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3.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3.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3.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3.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3.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3.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3.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3.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3.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3.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3.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3.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3.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3.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3.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3.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3.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3.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3.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3.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3.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3.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3.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3.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3.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3.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3.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3.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3.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3.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3.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3.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3.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3.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3.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3.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3.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3.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3.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3.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3.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3.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3.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3.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3.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3.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3.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3.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3.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3.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3.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3.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3.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3.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3.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3.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3.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3.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3.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3.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3.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3.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3.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3.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3.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3.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3.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3.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3.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3.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3.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3.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3.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3.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3.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3.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3.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3.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3.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3.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3.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3.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3.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3.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3.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3.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3.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3.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3.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3.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3.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3.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3.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3.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3.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3.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3.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3.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3.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3.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3.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3.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3.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3.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3.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3.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3.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3.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3.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3.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3.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3.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3.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3.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3.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3.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3.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3.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3.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3.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3.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3.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3.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3.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3.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3.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3.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3.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3.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3.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3.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3.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3.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3.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3.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3.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3.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3.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3.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3.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3.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3.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3.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3.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3.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3.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3.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3.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3.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3.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3.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3.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3.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3.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3.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3.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3.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3.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3.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3.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3.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3.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3.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3.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3.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3.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3.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3.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3.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3.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3.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3.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3.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3.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3.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3.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3.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3.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3.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3.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3.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3.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3.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3.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3.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3.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3.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3.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3.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3.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3.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3.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3.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3.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3.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3.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3.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3.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3.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3.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3.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3.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3.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3.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3.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3.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3.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3.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3.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3.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3.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3.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3.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3.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3.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3.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3.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3.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3.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3.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3.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3.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3.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3.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3.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3.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3.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3.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3.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3.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3.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3.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3.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3.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3.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3.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3.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3.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3.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3.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3.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3.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3.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3.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3.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3.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3.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3.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3.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3.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3.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3.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3.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3.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3.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3.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3.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3.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3.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3.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3.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3.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3.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3.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3.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3.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3.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3.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3.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3.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3.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3.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3.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3.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3.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3.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3.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3.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3.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3.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3.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3.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3.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3.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3.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3.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3.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3.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3.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3.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3.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3.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3.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3.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3.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3.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3.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3.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3.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3.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3.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3.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3.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3.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3.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3.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3.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3.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3.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3.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3.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3.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3.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3.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3.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3.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3.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3.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3.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3.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3.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3.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3.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3.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3.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3.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3.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3.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3.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3.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3.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3.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3.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3.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3.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3.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3.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3.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3.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3.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3.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3.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3.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3.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3.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3.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3.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3.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3.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3.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3.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3.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3.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3.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3.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3.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3.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3.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3.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3.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3.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3.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3.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3.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3.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3.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3.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3.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3.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3.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3.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3.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3.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3.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3.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3.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3.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3.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3.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3.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3.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3.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3.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3.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3.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3.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3.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3.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3.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3.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3.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
    <mergeCell ref="C2:L2"/>
  </mergeCells>
  <hyperlinks>
    <hyperlink display="GUI flows" location="null!A1" ref="C5"/>
    <hyperlink display="Hybrid applications" location="null!A1" ref="C6"/>
  </hyperlinks>
  <printOptions/>
  <pageMargins bottom="1.0" footer="0.0" header="0.0" left="0.75" right="0.75" top="1.0"/>
  <pageSetup scale="77"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18.25"/>
    <col customWidth="1" min="2" max="2" width="22.75"/>
    <col customWidth="1" min="3" max="3" width="26.25"/>
    <col customWidth="1" min="4" max="6" width="37.63"/>
    <col customWidth="1" min="7" max="23" width="8.63"/>
  </cols>
  <sheetData>
    <row r="1" ht="25.5" customHeight="1">
      <c r="A1" s="32" t="s">
        <v>19</v>
      </c>
      <c r="B1" s="32" t="s">
        <v>20</v>
      </c>
      <c r="C1" s="32" t="s">
        <v>21</v>
      </c>
      <c r="D1" s="32" t="s">
        <v>22</v>
      </c>
      <c r="E1" s="32" t="s">
        <v>23</v>
      </c>
      <c r="F1" s="33" t="s">
        <v>24</v>
      </c>
      <c r="G1" s="34" t="s">
        <v>25</v>
      </c>
      <c r="H1" s="35"/>
      <c r="I1" s="1"/>
      <c r="J1" s="1"/>
      <c r="K1" s="1"/>
      <c r="L1" s="1"/>
      <c r="M1" s="1"/>
      <c r="N1" s="1"/>
      <c r="O1" s="1"/>
      <c r="P1" s="1"/>
      <c r="Q1" s="1"/>
      <c r="R1" s="1"/>
      <c r="S1" s="1"/>
      <c r="T1" s="1"/>
      <c r="U1" s="1"/>
      <c r="V1" s="1"/>
      <c r="W1" s="1"/>
    </row>
    <row r="2" ht="12.75" customHeight="1">
      <c r="A2" s="36" t="str">
        <f>IF(OR(B2&lt;&gt;"",E2&lt;&gt;""),"["&amp;TEXT(#REF!,"#")&amp;"-"&amp;TEXT(ROW()-4,"##")&amp;"]","")</f>
        <v>#REF!</v>
      </c>
      <c r="B2" s="36" t="s">
        <v>26</v>
      </c>
      <c r="C2" s="37" t="s">
        <v>27</v>
      </c>
      <c r="D2" s="36" t="s">
        <v>28</v>
      </c>
      <c r="E2" s="36" t="s">
        <v>29</v>
      </c>
      <c r="F2" s="36" t="s">
        <v>29</v>
      </c>
      <c r="G2" s="36" t="s">
        <v>29</v>
      </c>
      <c r="H2" s="38"/>
      <c r="I2" s="1"/>
      <c r="J2" s="1"/>
      <c r="K2" s="1"/>
      <c r="L2" s="1"/>
      <c r="M2" s="1"/>
      <c r="N2" s="1"/>
      <c r="O2" s="1"/>
      <c r="P2" s="1"/>
      <c r="Q2" s="1"/>
      <c r="R2" s="1"/>
      <c r="S2" s="1"/>
      <c r="T2" s="1"/>
      <c r="U2" s="1"/>
      <c r="V2" s="1"/>
      <c r="W2" s="1"/>
    </row>
    <row r="3" ht="12.75" customHeight="1">
      <c r="A3" s="39" t="s">
        <v>30</v>
      </c>
      <c r="B3" s="40"/>
      <c r="C3" s="40"/>
      <c r="D3" s="40"/>
      <c r="E3" s="40"/>
      <c r="F3" s="40"/>
      <c r="G3" s="41"/>
      <c r="H3" s="38"/>
      <c r="I3" s="1"/>
      <c r="J3" s="1"/>
      <c r="K3" s="1"/>
      <c r="L3" s="1"/>
      <c r="M3" s="1"/>
      <c r="N3" s="1"/>
      <c r="O3" s="1"/>
      <c r="P3" s="1"/>
      <c r="Q3" s="1"/>
      <c r="R3" s="1"/>
      <c r="S3" s="1"/>
      <c r="T3" s="1"/>
      <c r="U3" s="1"/>
      <c r="V3" s="1"/>
      <c r="W3" s="1"/>
    </row>
    <row r="4" ht="12.75" customHeight="1">
      <c r="A4" s="39" t="s">
        <v>31</v>
      </c>
      <c r="B4" s="42"/>
      <c r="C4" s="42"/>
      <c r="D4" s="42"/>
      <c r="E4" s="42"/>
      <c r="F4" s="42"/>
      <c r="G4" s="41"/>
      <c r="H4" s="38"/>
      <c r="I4" s="1"/>
      <c r="J4" s="1"/>
      <c r="K4" s="1"/>
      <c r="L4" s="1"/>
      <c r="M4" s="1"/>
      <c r="N4" s="1"/>
      <c r="O4" s="1"/>
      <c r="P4" s="1"/>
      <c r="Q4" s="1"/>
      <c r="R4" s="1"/>
      <c r="S4" s="1"/>
      <c r="T4" s="1"/>
      <c r="U4" s="1"/>
      <c r="V4" s="1"/>
      <c r="W4" s="1"/>
    </row>
    <row r="5" ht="12.75" customHeight="1">
      <c r="A5" s="39" t="s">
        <v>32</v>
      </c>
      <c r="B5" s="42"/>
      <c r="C5" s="42"/>
      <c r="D5" s="42"/>
      <c r="E5" s="42"/>
      <c r="F5" s="42"/>
      <c r="G5" s="41"/>
      <c r="H5" s="38"/>
      <c r="I5" s="1"/>
      <c r="J5" s="1"/>
      <c r="K5" s="1"/>
      <c r="L5" s="1"/>
      <c r="M5" s="1"/>
      <c r="N5" s="1"/>
      <c r="O5" s="1"/>
      <c r="P5" s="1"/>
      <c r="Q5" s="1"/>
      <c r="R5" s="1"/>
      <c r="S5" s="1"/>
      <c r="T5" s="1"/>
      <c r="U5" s="1"/>
      <c r="V5" s="1"/>
      <c r="W5" s="1"/>
    </row>
    <row r="6" ht="12.75" customHeight="1">
      <c r="A6" s="39" t="s">
        <v>33</v>
      </c>
      <c r="B6" s="43" t="s">
        <v>34</v>
      </c>
      <c r="C6" s="43" t="s">
        <v>35</v>
      </c>
      <c r="D6" s="44" t="s">
        <v>36</v>
      </c>
      <c r="E6" s="43" t="s">
        <v>37</v>
      </c>
      <c r="F6" s="43" t="s">
        <v>38</v>
      </c>
      <c r="G6" s="41"/>
      <c r="H6" s="38"/>
      <c r="I6" s="1"/>
      <c r="J6" s="1"/>
      <c r="K6" s="1"/>
      <c r="L6" s="1"/>
      <c r="M6" s="1"/>
      <c r="N6" s="1"/>
      <c r="O6" s="1"/>
      <c r="P6" s="1"/>
      <c r="Q6" s="1"/>
      <c r="R6" s="1"/>
      <c r="S6" s="1"/>
      <c r="T6" s="1"/>
      <c r="U6" s="1"/>
      <c r="V6" s="1"/>
      <c r="W6" s="1"/>
    </row>
    <row r="7" ht="12.75" customHeight="1">
      <c r="A7" s="39" t="s">
        <v>39</v>
      </c>
      <c r="B7" s="43" t="s">
        <v>40</v>
      </c>
      <c r="C7" s="42"/>
      <c r="D7" s="44" t="s">
        <v>41</v>
      </c>
      <c r="E7" s="43" t="s">
        <v>42</v>
      </c>
      <c r="F7" s="42"/>
      <c r="G7" s="41"/>
      <c r="H7" s="38"/>
      <c r="I7" s="1"/>
      <c r="J7" s="1"/>
      <c r="K7" s="1"/>
      <c r="L7" s="1"/>
      <c r="M7" s="1"/>
      <c r="N7" s="1"/>
      <c r="O7" s="1"/>
      <c r="P7" s="1"/>
      <c r="Q7" s="1"/>
      <c r="R7" s="1"/>
      <c r="S7" s="1"/>
      <c r="T7" s="1"/>
      <c r="U7" s="1"/>
      <c r="V7" s="1"/>
      <c r="W7" s="1"/>
    </row>
    <row r="8" ht="12.75" customHeight="1">
      <c r="A8" s="39" t="s">
        <v>43</v>
      </c>
      <c r="B8" s="43" t="s">
        <v>44</v>
      </c>
      <c r="C8" s="43" t="s">
        <v>45</v>
      </c>
      <c r="D8" s="40"/>
      <c r="E8" s="42"/>
      <c r="F8" s="42"/>
      <c r="G8" s="41"/>
      <c r="H8" s="38"/>
      <c r="I8" s="1"/>
      <c r="J8" s="1"/>
      <c r="K8" s="1"/>
      <c r="L8" s="1"/>
      <c r="M8" s="1"/>
      <c r="N8" s="1"/>
      <c r="O8" s="1"/>
      <c r="P8" s="1"/>
      <c r="Q8" s="1"/>
      <c r="R8" s="1"/>
      <c r="S8" s="1"/>
      <c r="T8" s="1"/>
      <c r="U8" s="1"/>
      <c r="V8" s="1"/>
      <c r="W8" s="1"/>
    </row>
    <row r="9" ht="12.75" customHeight="1">
      <c r="A9" s="39" t="s">
        <v>46</v>
      </c>
      <c r="B9" s="42"/>
      <c r="C9" s="42"/>
      <c r="D9" s="42"/>
      <c r="E9" s="42"/>
      <c r="F9" s="42"/>
      <c r="G9" s="41"/>
      <c r="H9" s="38"/>
      <c r="I9" s="1"/>
      <c r="J9" s="1"/>
      <c r="K9" s="1"/>
      <c r="L9" s="1"/>
      <c r="M9" s="1"/>
      <c r="N9" s="1"/>
      <c r="O9" s="1"/>
      <c r="P9" s="1"/>
      <c r="Q9" s="1"/>
      <c r="R9" s="1"/>
      <c r="S9" s="1"/>
      <c r="T9" s="1"/>
      <c r="U9" s="1"/>
      <c r="V9" s="1"/>
      <c r="W9" s="1"/>
    </row>
    <row r="10" ht="12.75" customHeight="1">
      <c r="A10" s="39" t="s">
        <v>47</v>
      </c>
      <c r="B10" s="42"/>
      <c r="C10" s="42"/>
      <c r="D10" s="42"/>
      <c r="E10" s="42"/>
      <c r="F10" s="42"/>
      <c r="G10" s="38"/>
      <c r="H10" s="38"/>
      <c r="I10" s="1"/>
      <c r="J10" s="1"/>
      <c r="K10" s="1"/>
      <c r="L10" s="1"/>
      <c r="M10" s="1"/>
      <c r="N10" s="1"/>
      <c r="O10" s="1"/>
      <c r="P10" s="1"/>
      <c r="Q10" s="1"/>
      <c r="R10" s="1"/>
      <c r="S10" s="1"/>
      <c r="T10" s="1"/>
      <c r="U10" s="1"/>
      <c r="V10" s="1"/>
      <c r="W10" s="1"/>
    </row>
    <row r="11" ht="12.75" customHeight="1">
      <c r="A11" s="39" t="s">
        <v>48</v>
      </c>
      <c r="B11" s="42"/>
      <c r="C11" s="42"/>
      <c r="D11" s="42"/>
      <c r="E11" s="42"/>
      <c r="F11" s="42"/>
      <c r="G11" s="38"/>
      <c r="H11" s="38"/>
      <c r="I11" s="1"/>
      <c r="J11" s="1"/>
      <c r="K11" s="1"/>
      <c r="L11" s="1"/>
      <c r="M11" s="1"/>
      <c r="N11" s="1"/>
      <c r="O11" s="1"/>
      <c r="P11" s="1"/>
      <c r="Q11" s="1"/>
      <c r="R11" s="1"/>
      <c r="S11" s="1"/>
      <c r="T11" s="1"/>
      <c r="U11" s="1"/>
      <c r="V11" s="1"/>
      <c r="W11" s="1"/>
    </row>
    <row r="12" ht="12.75" customHeight="1">
      <c r="A12" s="39" t="s">
        <v>49</v>
      </c>
      <c r="B12" s="42"/>
      <c r="C12" s="42"/>
      <c r="D12" s="42"/>
      <c r="E12" s="42"/>
      <c r="F12" s="42"/>
      <c r="G12" s="38"/>
      <c r="H12" s="38"/>
      <c r="I12" s="1"/>
      <c r="J12" s="1"/>
      <c r="K12" s="1"/>
      <c r="L12" s="1"/>
      <c r="M12" s="1"/>
      <c r="N12" s="1"/>
      <c r="O12" s="1"/>
      <c r="P12" s="1"/>
      <c r="Q12" s="1"/>
      <c r="R12" s="1"/>
      <c r="S12" s="1"/>
      <c r="T12" s="1"/>
      <c r="U12" s="1"/>
      <c r="V12" s="1"/>
      <c r="W12" s="1"/>
    </row>
    <row r="13" ht="12.75" customHeight="1">
      <c r="A13" s="39" t="s">
        <v>50</v>
      </c>
      <c r="B13" s="42"/>
      <c r="C13" s="42"/>
      <c r="D13" s="42"/>
      <c r="E13" s="42"/>
      <c r="F13" s="42"/>
      <c r="G13" s="41"/>
      <c r="H13" s="38"/>
      <c r="I13" s="1"/>
      <c r="J13" s="1"/>
      <c r="K13" s="1"/>
      <c r="L13" s="1"/>
      <c r="M13" s="1"/>
      <c r="N13" s="1"/>
      <c r="O13" s="1"/>
      <c r="P13" s="1"/>
      <c r="Q13" s="1"/>
      <c r="R13" s="1"/>
      <c r="S13" s="1"/>
      <c r="T13" s="1"/>
      <c r="U13" s="1"/>
      <c r="V13" s="1"/>
      <c r="W13" s="1"/>
    </row>
    <row r="14" ht="12.75" customHeight="1">
      <c r="A14" s="39" t="s">
        <v>51</v>
      </c>
      <c r="B14" s="42"/>
      <c r="C14" s="42"/>
      <c r="D14" s="42"/>
      <c r="E14" s="42"/>
      <c r="F14" s="42"/>
      <c r="G14" s="41"/>
      <c r="H14" s="38"/>
      <c r="I14" s="1"/>
      <c r="J14" s="1"/>
      <c r="K14" s="1"/>
      <c r="L14" s="1"/>
      <c r="M14" s="1"/>
      <c r="N14" s="1"/>
      <c r="O14" s="1"/>
      <c r="P14" s="1"/>
      <c r="Q14" s="1"/>
      <c r="R14" s="1"/>
      <c r="S14" s="1"/>
      <c r="T14" s="1"/>
      <c r="U14" s="1"/>
      <c r="V14" s="1"/>
      <c r="W14" s="1"/>
    </row>
    <row r="15" ht="12.75" customHeight="1">
      <c r="A15" s="39" t="s">
        <v>52</v>
      </c>
      <c r="B15" s="43" t="s">
        <v>53</v>
      </c>
      <c r="C15" s="43" t="s">
        <v>54</v>
      </c>
      <c r="D15" s="43" t="s">
        <v>55</v>
      </c>
      <c r="E15" s="43" t="s">
        <v>56</v>
      </c>
      <c r="F15" s="42"/>
      <c r="G15" s="38"/>
      <c r="H15" s="38"/>
      <c r="I15" s="1"/>
      <c r="J15" s="1"/>
      <c r="K15" s="1"/>
      <c r="L15" s="1"/>
      <c r="M15" s="1"/>
      <c r="N15" s="1"/>
      <c r="O15" s="1"/>
      <c r="P15" s="1"/>
      <c r="Q15" s="1"/>
      <c r="R15" s="1"/>
      <c r="S15" s="1"/>
      <c r="T15" s="1"/>
      <c r="U15" s="1"/>
      <c r="V15" s="1"/>
      <c r="W15" s="1"/>
    </row>
    <row r="16" ht="12.75" customHeight="1">
      <c r="A16" s="39" t="s">
        <v>57</v>
      </c>
      <c r="B16" s="43" t="s">
        <v>58</v>
      </c>
      <c r="C16" s="43" t="s">
        <v>54</v>
      </c>
      <c r="D16" s="45" t="s">
        <v>59</v>
      </c>
      <c r="E16" s="45" t="s">
        <v>60</v>
      </c>
      <c r="F16" s="46"/>
      <c r="G16" s="41"/>
      <c r="H16" s="38"/>
      <c r="I16" s="1"/>
      <c r="J16" s="1"/>
      <c r="K16" s="1"/>
      <c r="L16" s="1"/>
      <c r="M16" s="1"/>
      <c r="N16" s="1"/>
      <c r="O16" s="1"/>
      <c r="P16" s="1"/>
      <c r="Q16" s="1"/>
      <c r="R16" s="1"/>
      <c r="S16" s="1"/>
      <c r="T16" s="1"/>
      <c r="U16" s="1"/>
      <c r="V16" s="1"/>
      <c r="W16" s="1"/>
    </row>
    <row r="17" ht="12.75" customHeight="1">
      <c r="A17" s="39" t="s">
        <v>61</v>
      </c>
      <c r="B17" s="43" t="s">
        <v>62</v>
      </c>
      <c r="C17" s="43" t="s">
        <v>63</v>
      </c>
      <c r="D17" s="43" t="s">
        <v>64</v>
      </c>
      <c r="E17" s="43" t="s">
        <v>65</v>
      </c>
      <c r="F17" s="42"/>
      <c r="G17" s="38"/>
      <c r="H17" s="38"/>
      <c r="I17" s="1"/>
      <c r="J17" s="1"/>
      <c r="K17" s="1"/>
      <c r="L17" s="1"/>
      <c r="M17" s="1"/>
      <c r="N17" s="1"/>
      <c r="O17" s="1"/>
      <c r="P17" s="1"/>
      <c r="Q17" s="1"/>
      <c r="R17" s="1"/>
      <c r="S17" s="1"/>
      <c r="T17" s="1"/>
      <c r="U17" s="1"/>
      <c r="V17" s="1"/>
      <c r="W17" s="1"/>
    </row>
    <row r="18" ht="12.75" customHeight="1">
      <c r="A18" s="39" t="s">
        <v>66</v>
      </c>
      <c r="B18" s="42"/>
      <c r="C18" s="42"/>
      <c r="D18" s="42"/>
      <c r="E18" s="42"/>
      <c r="F18" s="42"/>
      <c r="G18" s="38"/>
      <c r="H18" s="38"/>
      <c r="I18" s="1"/>
      <c r="J18" s="1"/>
      <c r="K18" s="1"/>
      <c r="L18" s="1"/>
      <c r="M18" s="1"/>
      <c r="N18" s="1"/>
      <c r="O18" s="1"/>
      <c r="P18" s="1"/>
      <c r="Q18" s="1"/>
      <c r="R18" s="1"/>
      <c r="S18" s="1"/>
      <c r="T18" s="1"/>
      <c r="U18" s="1"/>
      <c r="V18" s="1"/>
      <c r="W18" s="1"/>
    </row>
    <row r="19" ht="12.75" customHeight="1">
      <c r="A19" s="42"/>
      <c r="B19" s="47"/>
      <c r="C19" s="42"/>
      <c r="D19" s="40"/>
      <c r="E19" s="42"/>
      <c r="F19" s="42"/>
      <c r="G19" s="48"/>
      <c r="H19" s="48"/>
    </row>
    <row r="20" ht="12.75" customHeight="1">
      <c r="A20" s="42"/>
      <c r="B20" s="49"/>
      <c r="C20" s="42"/>
      <c r="D20" s="40"/>
      <c r="E20" s="42"/>
      <c r="F20" s="42"/>
      <c r="G20" s="48"/>
      <c r="H20" s="48"/>
    </row>
    <row r="21" ht="12.75" customHeight="1">
      <c r="G21" s="48"/>
      <c r="H21" s="48"/>
    </row>
    <row r="22" ht="12.75" customHeight="1">
      <c r="G22" s="48"/>
      <c r="H22" s="48"/>
    </row>
    <row r="23" ht="12.75" customHeight="1">
      <c r="G23" s="48"/>
      <c r="H23" s="48"/>
    </row>
    <row r="24" ht="12.75" customHeight="1">
      <c r="G24" s="48"/>
      <c r="H24" s="48"/>
    </row>
    <row r="25" ht="12.75" customHeight="1">
      <c r="G25" s="48"/>
      <c r="H25" s="48"/>
    </row>
    <row r="26" ht="12.75" customHeight="1">
      <c r="G26" s="48"/>
      <c r="H26" s="48"/>
    </row>
    <row r="27" ht="12.75" customHeight="1">
      <c r="G27" s="50"/>
      <c r="H27" s="50"/>
    </row>
    <row r="28" ht="12.75" customHeight="1">
      <c r="G28" s="50"/>
      <c r="H28" s="50"/>
    </row>
    <row r="29" ht="12.75" customHeight="1">
      <c r="G29" s="50"/>
      <c r="H29" s="50"/>
    </row>
    <row r="30" ht="12.75" customHeight="1">
      <c r="G30" s="50"/>
      <c r="H30" s="50"/>
    </row>
    <row r="31" ht="12.75" customHeight="1">
      <c r="G31" s="50"/>
      <c r="H31" s="50"/>
    </row>
    <row r="32" ht="12.75" customHeight="1">
      <c r="G32" s="50"/>
      <c r="H32" s="50"/>
    </row>
    <row r="33" ht="12.75" customHeight="1">
      <c r="G33" s="50"/>
      <c r="H33" s="50"/>
    </row>
    <row r="34" ht="12.75" customHeight="1">
      <c r="G34" s="50"/>
      <c r="H34" s="50"/>
    </row>
    <row r="35" ht="12.75" customHeight="1">
      <c r="G35" s="50"/>
      <c r="H35" s="50"/>
    </row>
    <row r="36" ht="12.75" customHeight="1">
      <c r="G36" s="50"/>
      <c r="H36" s="50"/>
    </row>
    <row r="37" ht="12.75" customHeight="1">
      <c r="G37" s="50"/>
      <c r="H37" s="50"/>
    </row>
    <row r="38" ht="12.75" customHeight="1">
      <c r="G38" s="50"/>
      <c r="H38" s="50"/>
    </row>
    <row r="39" ht="12.75" customHeight="1">
      <c r="G39" s="50"/>
      <c r="H39" s="50"/>
    </row>
    <row r="40" ht="12.75" customHeight="1">
      <c r="G40" s="50"/>
      <c r="H40" s="50"/>
    </row>
    <row r="41" ht="12.75" customHeight="1">
      <c r="G41" s="50"/>
      <c r="H41" s="50"/>
    </row>
    <row r="42" ht="12.75" customHeight="1">
      <c r="G42" s="50"/>
      <c r="H42" s="50"/>
    </row>
    <row r="43" ht="12.75" customHeight="1">
      <c r="G43" s="50"/>
      <c r="H43" s="50"/>
    </row>
    <row r="44" ht="12.75" customHeight="1">
      <c r="G44" s="50"/>
      <c r="H44" s="50"/>
    </row>
    <row r="45" ht="12.75" customHeight="1">
      <c r="G45" s="50"/>
      <c r="H45" s="50"/>
    </row>
    <row r="46" ht="12.75" customHeight="1">
      <c r="G46" s="50"/>
      <c r="H46" s="50"/>
    </row>
    <row r="47" ht="12.75" customHeight="1">
      <c r="G47" s="50"/>
      <c r="H47" s="50"/>
    </row>
    <row r="48" ht="12.75" customHeight="1">
      <c r="G48" s="50"/>
      <c r="H48" s="50"/>
    </row>
    <row r="49" ht="12.75" customHeight="1">
      <c r="G49" s="50"/>
      <c r="H49" s="50"/>
    </row>
    <row r="50" ht="12.75" customHeight="1">
      <c r="G50" s="50"/>
      <c r="H50" s="50"/>
    </row>
    <row r="51" ht="12.75" customHeight="1">
      <c r="G51" s="50"/>
      <c r="H51" s="50"/>
    </row>
    <row r="52" ht="12.75" customHeight="1">
      <c r="G52" s="50"/>
      <c r="H52" s="50"/>
    </row>
    <row r="53" ht="12.75" customHeight="1">
      <c r="G53" s="50"/>
      <c r="H53" s="50"/>
    </row>
    <row r="54" ht="12.75" customHeight="1">
      <c r="G54" s="50"/>
      <c r="H54" s="50"/>
    </row>
    <row r="55" ht="12.75" customHeight="1">
      <c r="G55" s="50"/>
      <c r="H55" s="50"/>
    </row>
    <row r="56" ht="12.75" customHeight="1">
      <c r="G56" s="50"/>
      <c r="H56" s="50"/>
    </row>
    <row r="57" ht="12.75" customHeight="1">
      <c r="G57" s="50"/>
      <c r="H57" s="50"/>
    </row>
    <row r="58" ht="12.75" customHeight="1">
      <c r="G58" s="50"/>
      <c r="H58" s="50"/>
    </row>
    <row r="59" ht="12.75" customHeight="1">
      <c r="G59" s="50"/>
      <c r="H59" s="50"/>
    </row>
    <row r="60" ht="12.75" customHeight="1">
      <c r="G60" s="50"/>
      <c r="H60" s="50"/>
    </row>
    <row r="61" ht="12.75" customHeight="1">
      <c r="G61" s="50"/>
      <c r="H61" s="50"/>
    </row>
    <row r="62" ht="12.75" customHeight="1">
      <c r="G62" s="50"/>
      <c r="H62" s="50"/>
    </row>
    <row r="63" ht="12.75" customHeight="1">
      <c r="G63" s="50"/>
      <c r="H63" s="50"/>
    </row>
    <row r="64" ht="12.75" customHeight="1">
      <c r="G64" s="50"/>
      <c r="H64" s="50"/>
    </row>
    <row r="65" ht="12.75" customHeight="1">
      <c r="G65" s="50"/>
      <c r="H65" s="50"/>
    </row>
    <row r="66" ht="12.75" customHeight="1">
      <c r="G66" s="50"/>
      <c r="H66" s="50"/>
    </row>
    <row r="67" ht="12.75" customHeight="1">
      <c r="G67" s="50"/>
      <c r="H67" s="50"/>
    </row>
    <row r="68" ht="12.75" customHeight="1">
      <c r="G68" s="50"/>
      <c r="H68" s="50"/>
    </row>
    <row r="69" ht="12.75" customHeight="1">
      <c r="G69" s="50"/>
      <c r="H69" s="50"/>
    </row>
    <row r="70" ht="12.75" customHeight="1">
      <c r="G70" s="50"/>
      <c r="H70" s="50"/>
    </row>
    <row r="71" ht="12.75" customHeight="1">
      <c r="G71" s="50"/>
      <c r="H71" s="50"/>
    </row>
    <row r="72" ht="12.75" customHeight="1">
      <c r="G72" s="50"/>
      <c r="H72" s="50"/>
    </row>
    <row r="73" ht="12.75" customHeight="1">
      <c r="G73" s="50"/>
      <c r="H73" s="50"/>
    </row>
    <row r="74" ht="12.75" customHeight="1">
      <c r="G74" s="50"/>
      <c r="H74" s="50"/>
    </row>
    <row r="75" ht="12.75" customHeight="1">
      <c r="G75" s="50"/>
      <c r="H75" s="50"/>
    </row>
    <row r="76" ht="12.75" customHeight="1">
      <c r="G76" s="50"/>
      <c r="H76" s="50"/>
    </row>
    <row r="77" ht="12.75" customHeight="1">
      <c r="G77" s="50"/>
      <c r="H77" s="50"/>
    </row>
    <row r="78" ht="12.75" customHeight="1">
      <c r="G78" s="50"/>
      <c r="H78" s="50"/>
    </row>
    <row r="79" ht="12.75" customHeight="1">
      <c r="G79" s="50"/>
      <c r="H79" s="50"/>
    </row>
    <row r="80" ht="12.75" customHeight="1">
      <c r="G80" s="50"/>
      <c r="H80" s="50"/>
    </row>
    <row r="81" ht="12.75" customHeight="1">
      <c r="G81" s="50"/>
      <c r="H81" s="50"/>
    </row>
    <row r="82" ht="12.75" customHeight="1">
      <c r="G82" s="50"/>
      <c r="H82" s="50"/>
    </row>
    <row r="83" ht="12.75" customHeight="1">
      <c r="G83" s="50"/>
      <c r="H83" s="50"/>
    </row>
    <row r="84" ht="12.75" customHeight="1">
      <c r="G84" s="50"/>
      <c r="H84" s="50"/>
    </row>
    <row r="85" ht="12.75" customHeight="1">
      <c r="G85" s="50"/>
      <c r="H85" s="50"/>
    </row>
    <row r="86" ht="12.75" customHeight="1">
      <c r="G86" s="50"/>
      <c r="H86" s="50"/>
    </row>
    <row r="87" ht="12.75" customHeight="1">
      <c r="G87" s="50"/>
      <c r="H87" s="50"/>
    </row>
    <row r="88" ht="12.75" customHeight="1">
      <c r="G88" s="50"/>
      <c r="H88" s="50"/>
    </row>
    <row r="89" ht="12.75" customHeight="1">
      <c r="G89" s="50"/>
      <c r="H89" s="50"/>
    </row>
    <row r="90" ht="12.75" customHeight="1">
      <c r="G90" s="50"/>
      <c r="H90" s="50"/>
    </row>
    <row r="91" ht="12.75" customHeight="1">
      <c r="G91" s="50"/>
      <c r="H91" s="50"/>
    </row>
    <row r="92" ht="12.75" customHeight="1">
      <c r="G92" s="50"/>
      <c r="H92" s="50"/>
    </row>
    <row r="93" ht="12.75" customHeight="1">
      <c r="G93" s="50"/>
      <c r="H93" s="50"/>
    </row>
    <row r="94" ht="12.75" customHeight="1">
      <c r="G94" s="50"/>
      <c r="H94" s="50"/>
    </row>
    <row r="95" ht="12.75" customHeight="1">
      <c r="G95" s="50"/>
      <c r="H95" s="50"/>
    </row>
    <row r="96" ht="12.75" customHeight="1">
      <c r="G96" s="50"/>
      <c r="H96" s="50"/>
    </row>
    <row r="97" ht="12.75" customHeight="1">
      <c r="G97" s="50"/>
      <c r="H97" s="50"/>
    </row>
    <row r="98" ht="12.75" customHeight="1">
      <c r="G98" s="50"/>
      <c r="H98" s="50"/>
    </row>
    <row r="99" ht="12.75" customHeight="1">
      <c r="G99" s="50"/>
      <c r="H99" s="50"/>
    </row>
    <row r="100" ht="12.75" customHeight="1">
      <c r="G100" s="50"/>
      <c r="H100" s="50"/>
    </row>
    <row r="101" ht="12.75" customHeight="1">
      <c r="G101" s="50"/>
      <c r="H101" s="50"/>
    </row>
    <row r="102" ht="12.75" customHeight="1">
      <c r="G102" s="50"/>
      <c r="H102" s="50"/>
    </row>
    <row r="103" ht="12.75" customHeight="1">
      <c r="G103" s="50"/>
      <c r="H103" s="50"/>
    </row>
    <row r="104" ht="12.75" customHeight="1">
      <c r="G104" s="50"/>
      <c r="H104" s="50"/>
    </row>
    <row r="105" ht="12.75" customHeight="1">
      <c r="G105" s="50"/>
      <c r="H105" s="50"/>
    </row>
    <row r="106" ht="12.75" customHeight="1">
      <c r="G106" s="50"/>
      <c r="H106" s="50"/>
    </row>
    <row r="107" ht="12.75" customHeight="1">
      <c r="G107" s="50"/>
      <c r="H107" s="50"/>
    </row>
    <row r="108" ht="12.75" customHeight="1">
      <c r="G108" s="50"/>
      <c r="H108" s="50"/>
    </row>
    <row r="109" ht="12.75" customHeight="1">
      <c r="G109" s="50"/>
      <c r="H109" s="50"/>
    </row>
    <row r="110" ht="12.75" customHeight="1">
      <c r="G110" s="50"/>
      <c r="H110" s="50"/>
    </row>
    <row r="111" ht="12.75" customHeight="1">
      <c r="G111" s="50"/>
      <c r="H111" s="50"/>
    </row>
    <row r="112" ht="12.75" customHeight="1">
      <c r="G112" s="50"/>
      <c r="H112" s="50"/>
    </row>
    <row r="113" ht="12.75" customHeight="1">
      <c r="G113" s="50"/>
      <c r="H113" s="50"/>
    </row>
    <row r="114" ht="12.75" customHeight="1">
      <c r="G114" s="50"/>
      <c r="H114" s="50"/>
    </row>
    <row r="115" ht="12.75" customHeight="1">
      <c r="G115" s="50"/>
      <c r="H115" s="50"/>
    </row>
    <row r="116" ht="12.75" customHeight="1">
      <c r="G116" s="50"/>
      <c r="H116" s="50"/>
    </row>
    <row r="117" ht="12.75" customHeight="1">
      <c r="G117" s="50"/>
      <c r="H117" s="50"/>
    </row>
    <row r="118" ht="12.75" customHeight="1">
      <c r="G118" s="50"/>
      <c r="H118" s="50"/>
    </row>
    <row r="119" ht="12.75" customHeight="1">
      <c r="G119" s="50"/>
      <c r="H119" s="50"/>
    </row>
    <row r="120" ht="12.75" customHeight="1">
      <c r="G120" s="50"/>
      <c r="H120" s="50"/>
    </row>
    <row r="121" ht="12.75" customHeight="1">
      <c r="G121" s="50"/>
      <c r="H121" s="50"/>
    </row>
    <row r="122" ht="12.75" customHeight="1">
      <c r="G122" s="50"/>
      <c r="H122" s="50"/>
    </row>
    <row r="123" ht="12.75" customHeight="1">
      <c r="G123" s="50"/>
      <c r="H123" s="50"/>
    </row>
    <row r="124" ht="12.75" customHeight="1">
      <c r="G124" s="50"/>
      <c r="H124" s="50"/>
    </row>
    <row r="125" ht="12.75" customHeight="1">
      <c r="G125" s="50"/>
      <c r="H125" s="50"/>
    </row>
    <row r="126" ht="12.75" customHeight="1">
      <c r="G126" s="50"/>
      <c r="H126" s="50"/>
    </row>
    <row r="127" ht="12.75" customHeight="1">
      <c r="G127" s="50"/>
      <c r="H127" s="50"/>
    </row>
    <row r="128" ht="12.75" customHeight="1">
      <c r="G128" s="50"/>
      <c r="H128" s="50"/>
    </row>
    <row r="129" ht="12.75" customHeight="1">
      <c r="G129" s="50"/>
      <c r="H129" s="50"/>
    </row>
    <row r="130" ht="12.75" customHeight="1">
      <c r="G130" s="50"/>
      <c r="H130" s="50"/>
    </row>
    <row r="131" ht="12.75" customHeight="1">
      <c r="G131" s="50"/>
      <c r="H131" s="50"/>
    </row>
    <row r="132" ht="12.75" customHeight="1">
      <c r="G132" s="50"/>
      <c r="H132" s="50"/>
    </row>
    <row r="133" ht="12.75" customHeight="1">
      <c r="G133" s="50"/>
      <c r="H133" s="50"/>
    </row>
    <row r="134" ht="12.75" customHeight="1">
      <c r="G134" s="50"/>
      <c r="H134" s="50"/>
    </row>
    <row r="135" ht="12.75" customHeight="1">
      <c r="G135" s="50"/>
      <c r="H135" s="50"/>
    </row>
    <row r="136" ht="12.75" customHeight="1">
      <c r="G136" s="50"/>
      <c r="H136" s="50"/>
    </row>
    <row r="137" ht="12.75" customHeight="1">
      <c r="G137" s="50"/>
      <c r="H137" s="50"/>
    </row>
    <row r="138" ht="12.75" customHeight="1">
      <c r="G138" s="50"/>
      <c r="H138" s="50"/>
    </row>
    <row r="139" ht="12.75" customHeight="1">
      <c r="G139" s="50"/>
      <c r="H139" s="50"/>
    </row>
    <row r="140" ht="12.75" customHeight="1">
      <c r="G140" s="50"/>
      <c r="H140" s="50"/>
    </row>
    <row r="141" ht="12.75" customHeight="1">
      <c r="G141" s="50"/>
      <c r="H141" s="50"/>
    </row>
    <row r="142" ht="12.75" customHeight="1">
      <c r="G142" s="50"/>
      <c r="H142" s="50"/>
    </row>
    <row r="143" ht="12.75" customHeight="1">
      <c r="G143" s="50"/>
      <c r="H143" s="50"/>
    </row>
    <row r="144" ht="12.75" customHeight="1">
      <c r="G144" s="50"/>
      <c r="H144" s="50"/>
    </row>
    <row r="145" ht="12.75" customHeight="1">
      <c r="G145" s="50"/>
      <c r="H145" s="50"/>
    </row>
    <row r="146" ht="12.75" customHeight="1">
      <c r="G146" s="50"/>
      <c r="H146" s="50"/>
    </row>
    <row r="147" ht="12.75" customHeight="1">
      <c r="G147" s="50"/>
      <c r="H147" s="50"/>
    </row>
    <row r="148" ht="12.75" customHeight="1">
      <c r="G148" s="50"/>
      <c r="H148" s="50"/>
    </row>
    <row r="149" ht="12.75" customHeight="1">
      <c r="G149" s="50"/>
      <c r="H149" s="50"/>
    </row>
    <row r="150" ht="12.75" customHeight="1">
      <c r="G150" s="50"/>
      <c r="H150" s="50"/>
    </row>
    <row r="151" ht="12.75" customHeight="1">
      <c r="G151" s="50"/>
      <c r="H151" s="50"/>
    </row>
    <row r="152" ht="12.75" customHeight="1">
      <c r="G152" s="50"/>
      <c r="H152" s="50"/>
    </row>
    <row r="153" ht="12.75" customHeight="1">
      <c r="G153" s="50"/>
      <c r="H153" s="50"/>
    </row>
    <row r="154" ht="12.75" customHeight="1">
      <c r="G154" s="50"/>
      <c r="H154" s="50"/>
    </row>
    <row r="155" ht="12.75" customHeight="1">
      <c r="G155" s="50"/>
      <c r="H155" s="50"/>
    </row>
    <row r="156" ht="12.75" customHeight="1">
      <c r="G156" s="50"/>
      <c r="H156" s="50"/>
    </row>
    <row r="157" ht="12.75" customHeight="1">
      <c r="G157" s="50"/>
      <c r="H157" s="50"/>
    </row>
    <row r="158" ht="12.75" customHeight="1">
      <c r="G158" s="50"/>
      <c r="H158" s="50"/>
    </row>
    <row r="159" ht="12.75" customHeight="1">
      <c r="G159" s="50"/>
      <c r="H159" s="50"/>
    </row>
    <row r="160" ht="12.75" customHeight="1">
      <c r="G160" s="50"/>
      <c r="H160" s="50"/>
    </row>
    <row r="161" ht="12.75" customHeight="1">
      <c r="G161" s="50"/>
      <c r="H161" s="50"/>
    </row>
    <row r="162" ht="12.75" customHeight="1">
      <c r="G162" s="50"/>
      <c r="H162" s="50"/>
    </row>
    <row r="163" ht="12.75" customHeight="1">
      <c r="G163" s="50"/>
      <c r="H163" s="50"/>
    </row>
    <row r="164" ht="12.75" customHeight="1">
      <c r="G164" s="50"/>
      <c r="H164" s="50"/>
    </row>
    <row r="165" ht="12.75" customHeight="1">
      <c r="G165" s="50"/>
      <c r="H165" s="50"/>
    </row>
    <row r="166" ht="12.75" customHeight="1">
      <c r="G166" s="50"/>
      <c r="H166" s="50"/>
    </row>
    <row r="167" ht="12.75" customHeight="1">
      <c r="G167" s="50"/>
      <c r="H167" s="50"/>
    </row>
    <row r="168" ht="12.75" customHeight="1">
      <c r="G168" s="50"/>
      <c r="H168" s="50"/>
    </row>
    <row r="169" ht="12.75" customHeight="1">
      <c r="G169" s="50"/>
      <c r="H169" s="50"/>
    </row>
    <row r="170" ht="12.75" customHeight="1">
      <c r="G170" s="50"/>
      <c r="H170" s="50"/>
    </row>
    <row r="171" ht="12.75" customHeight="1">
      <c r="G171" s="50"/>
      <c r="H171" s="50"/>
    </row>
    <row r="172" ht="12.75" customHeight="1">
      <c r="G172" s="50"/>
      <c r="H172" s="50"/>
    </row>
    <row r="173" ht="12.75" customHeight="1">
      <c r="G173" s="50"/>
      <c r="H173" s="50"/>
    </row>
    <row r="174" ht="12.75" customHeight="1">
      <c r="G174" s="50"/>
      <c r="H174" s="50"/>
    </row>
    <row r="175" ht="12.75" customHeight="1">
      <c r="G175" s="50"/>
      <c r="H175" s="50"/>
    </row>
    <row r="176" ht="12.75" customHeight="1">
      <c r="G176" s="50"/>
      <c r="H176" s="50"/>
    </row>
    <row r="177" ht="12.75" customHeight="1">
      <c r="G177" s="50"/>
      <c r="H177" s="50"/>
    </row>
    <row r="178" ht="12.75" customHeight="1">
      <c r="G178" s="50"/>
      <c r="H178" s="50"/>
    </row>
    <row r="179" ht="12.75" customHeight="1">
      <c r="G179" s="50"/>
      <c r="H179" s="50"/>
    </row>
    <row r="180" ht="12.75" customHeight="1">
      <c r="G180" s="50"/>
      <c r="H180" s="50"/>
    </row>
    <row r="181" ht="12.75" customHeight="1">
      <c r="G181" s="50"/>
      <c r="H181" s="50"/>
    </row>
    <row r="182" ht="12.75" customHeight="1">
      <c r="G182" s="50"/>
      <c r="H182" s="50"/>
    </row>
    <row r="183" ht="12.75" customHeight="1">
      <c r="G183" s="50"/>
      <c r="H183" s="50"/>
    </row>
    <row r="184" ht="12.75" customHeight="1">
      <c r="G184" s="50"/>
      <c r="H184" s="50"/>
    </row>
    <row r="185" ht="12.75" customHeight="1">
      <c r="G185" s="50"/>
      <c r="H185" s="50"/>
    </row>
    <row r="186" ht="12.75" customHeight="1">
      <c r="G186" s="50"/>
      <c r="H186" s="50"/>
    </row>
    <row r="187" ht="12.75" customHeight="1">
      <c r="G187" s="50"/>
      <c r="H187" s="50"/>
    </row>
    <row r="188" ht="12.75" customHeight="1">
      <c r="G188" s="50"/>
      <c r="H188" s="50"/>
    </row>
    <row r="189" ht="12.75" customHeight="1">
      <c r="G189" s="50"/>
      <c r="H189" s="50"/>
    </row>
    <row r="190" ht="12.75" customHeight="1">
      <c r="G190" s="50"/>
      <c r="H190" s="50"/>
    </row>
    <row r="191" ht="12.75" customHeight="1">
      <c r="G191" s="50"/>
      <c r="H191" s="50"/>
    </row>
    <row r="192" ht="12.75" customHeight="1">
      <c r="G192" s="50"/>
      <c r="H192" s="50"/>
    </row>
    <row r="193" ht="12.75" customHeight="1">
      <c r="G193" s="50"/>
      <c r="H193" s="50"/>
    </row>
    <row r="194" ht="12.75" customHeight="1">
      <c r="G194" s="50"/>
      <c r="H194" s="50"/>
    </row>
    <row r="195" ht="12.75" customHeight="1">
      <c r="G195" s="50"/>
      <c r="H195" s="50"/>
    </row>
    <row r="196" ht="12.75" customHeight="1">
      <c r="G196" s="50"/>
      <c r="H196" s="50"/>
    </row>
    <row r="197" ht="12.75" customHeight="1">
      <c r="G197" s="50"/>
      <c r="H197" s="50"/>
    </row>
    <row r="198" ht="12.75" customHeight="1">
      <c r="G198" s="50"/>
      <c r="H198" s="50"/>
    </row>
    <row r="199" ht="12.75" customHeight="1">
      <c r="G199" s="50"/>
      <c r="H199" s="50"/>
    </row>
    <row r="200" ht="12.75" customHeight="1">
      <c r="G200" s="50"/>
      <c r="H200" s="50"/>
    </row>
    <row r="201" ht="12.75" customHeight="1">
      <c r="G201" s="50"/>
      <c r="H201" s="50"/>
    </row>
    <row r="202" ht="12.75" customHeight="1">
      <c r="G202" s="50"/>
      <c r="H202" s="50"/>
    </row>
    <row r="203" ht="12.75" customHeight="1">
      <c r="G203" s="50"/>
      <c r="H203" s="50"/>
    </row>
    <row r="204" ht="12.75" customHeight="1">
      <c r="G204" s="50"/>
      <c r="H204" s="50"/>
    </row>
    <row r="205" ht="12.75" customHeight="1">
      <c r="G205" s="50"/>
      <c r="H205" s="50"/>
    </row>
    <row r="206" ht="12.75" customHeight="1">
      <c r="G206" s="50"/>
      <c r="H206" s="50"/>
    </row>
    <row r="207" ht="12.75" customHeight="1">
      <c r="G207" s="50"/>
      <c r="H207" s="50"/>
    </row>
    <row r="208" ht="12.75" customHeight="1">
      <c r="G208" s="50"/>
      <c r="H208" s="50"/>
    </row>
    <row r="209" ht="12.75" customHeight="1">
      <c r="G209" s="50"/>
      <c r="H209" s="50"/>
    </row>
    <row r="210" ht="12.75" customHeight="1">
      <c r="G210" s="50"/>
      <c r="H210" s="50"/>
    </row>
    <row r="211" ht="12.75" customHeight="1">
      <c r="G211" s="50"/>
      <c r="H211" s="50"/>
    </row>
    <row r="212" ht="12.75" customHeight="1">
      <c r="G212" s="50"/>
      <c r="H212" s="50"/>
    </row>
    <row r="213" ht="12.75" customHeight="1">
      <c r="G213" s="50"/>
      <c r="H213" s="50"/>
    </row>
    <row r="214" ht="12.75" customHeight="1">
      <c r="G214" s="50"/>
      <c r="H214" s="50"/>
    </row>
    <row r="215" ht="12.75" customHeight="1">
      <c r="G215" s="50"/>
      <c r="H215" s="50"/>
    </row>
    <row r="216" ht="12.75" customHeight="1">
      <c r="G216" s="50"/>
      <c r="H216" s="50"/>
    </row>
    <row r="217" ht="12.75" customHeight="1">
      <c r="G217" s="50"/>
      <c r="H217" s="50"/>
    </row>
    <row r="218" ht="12.75" customHeight="1">
      <c r="G218" s="50"/>
      <c r="H218" s="50"/>
    </row>
    <row r="219" ht="12.75" customHeight="1">
      <c r="G219" s="50"/>
      <c r="H219" s="50"/>
    </row>
    <row r="220" ht="12.75" customHeight="1">
      <c r="G220" s="50"/>
      <c r="H220" s="50"/>
    </row>
    <row r="221" ht="12.75" customHeight="1">
      <c r="G221" s="50"/>
      <c r="H221" s="50"/>
    </row>
    <row r="222" ht="12.75" customHeight="1">
      <c r="G222" s="50"/>
      <c r="H222" s="50"/>
    </row>
    <row r="223" ht="12.75" customHeight="1">
      <c r="G223" s="50"/>
      <c r="H223" s="50"/>
    </row>
    <row r="224" ht="12.75" customHeight="1">
      <c r="G224" s="50"/>
      <c r="H224" s="50"/>
    </row>
    <row r="225" ht="12.75" customHeight="1">
      <c r="G225" s="50"/>
      <c r="H225" s="50"/>
    </row>
    <row r="226" ht="12.75" customHeight="1">
      <c r="G226" s="50"/>
      <c r="H226" s="50"/>
    </row>
    <row r="227" ht="12.75" customHeight="1">
      <c r="G227" s="50"/>
      <c r="H227" s="50"/>
    </row>
    <row r="228" ht="12.75" customHeight="1">
      <c r="G228" s="50"/>
      <c r="H228" s="50"/>
    </row>
    <row r="229" ht="12.75" customHeight="1">
      <c r="G229" s="50"/>
      <c r="H229" s="50"/>
    </row>
    <row r="230" ht="12.75" customHeight="1">
      <c r="G230" s="50"/>
      <c r="H230" s="50"/>
    </row>
    <row r="231" ht="12.75" customHeight="1">
      <c r="G231" s="50"/>
      <c r="H231" s="50"/>
    </row>
    <row r="232" ht="12.75" customHeight="1">
      <c r="G232" s="50"/>
      <c r="H232" s="50"/>
    </row>
    <row r="233" ht="12.75" customHeight="1">
      <c r="G233" s="50"/>
      <c r="H233" s="50"/>
    </row>
    <row r="234" ht="12.75" customHeight="1">
      <c r="G234" s="50"/>
      <c r="H234" s="50"/>
    </row>
    <row r="235" ht="12.75" customHeight="1">
      <c r="G235" s="50"/>
      <c r="H235" s="50"/>
    </row>
    <row r="236" ht="12.75" customHeight="1">
      <c r="G236" s="50"/>
      <c r="H236" s="50"/>
    </row>
    <row r="237" ht="12.75" customHeight="1">
      <c r="G237" s="50"/>
      <c r="H237" s="50"/>
    </row>
    <row r="238" ht="12.75" customHeight="1">
      <c r="G238" s="50"/>
      <c r="H238" s="50"/>
    </row>
    <row r="239" ht="12.75" customHeight="1">
      <c r="G239" s="50"/>
      <c r="H239" s="50"/>
    </row>
    <row r="240" ht="12.75" customHeight="1">
      <c r="G240" s="50"/>
      <c r="H240" s="50"/>
    </row>
    <row r="241" ht="12.75" customHeight="1">
      <c r="G241" s="50"/>
      <c r="H241" s="50"/>
    </row>
    <row r="242" ht="12.75" customHeight="1">
      <c r="G242" s="50"/>
      <c r="H242" s="50"/>
    </row>
    <row r="243" ht="12.75" customHeight="1">
      <c r="G243" s="50"/>
      <c r="H243" s="50"/>
    </row>
    <row r="244" ht="12.75" customHeight="1">
      <c r="G244" s="50"/>
      <c r="H244" s="50"/>
    </row>
    <row r="245" ht="12.75" customHeight="1">
      <c r="G245" s="50"/>
      <c r="H245" s="50"/>
    </row>
    <row r="246" ht="12.75" customHeight="1">
      <c r="G246" s="50"/>
      <c r="H246" s="50"/>
    </row>
    <row r="247" ht="12.75" customHeight="1">
      <c r="G247" s="50"/>
      <c r="H247" s="50"/>
    </row>
    <row r="248" ht="12.75" customHeight="1">
      <c r="G248" s="50"/>
      <c r="H248" s="50"/>
    </row>
    <row r="249" ht="12.75" customHeight="1">
      <c r="G249" s="50"/>
      <c r="H249" s="50"/>
    </row>
    <row r="250" ht="12.75" customHeight="1">
      <c r="G250" s="50"/>
      <c r="H250" s="50"/>
    </row>
    <row r="251" ht="12.75" customHeight="1">
      <c r="G251" s="50"/>
      <c r="H251" s="50"/>
    </row>
    <row r="252" ht="12.75" customHeight="1">
      <c r="G252" s="50"/>
      <c r="H252" s="50"/>
    </row>
    <row r="253" ht="12.75" customHeight="1">
      <c r="G253" s="50"/>
      <c r="H253" s="50"/>
    </row>
    <row r="254" ht="12.75" customHeight="1">
      <c r="G254" s="50"/>
      <c r="H254" s="50"/>
    </row>
    <row r="255" ht="12.75" customHeight="1">
      <c r="G255" s="50"/>
      <c r="H255" s="50"/>
    </row>
    <row r="256" ht="12.75" customHeight="1">
      <c r="G256" s="50"/>
      <c r="H256" s="50"/>
    </row>
    <row r="257" ht="12.75" customHeight="1">
      <c r="G257" s="50"/>
      <c r="H257" s="50"/>
    </row>
    <row r="258" ht="12.75" customHeight="1">
      <c r="G258" s="50"/>
      <c r="H258" s="50"/>
    </row>
    <row r="259" ht="12.75" customHeight="1">
      <c r="G259" s="50"/>
      <c r="H259" s="50"/>
    </row>
    <row r="260" ht="12.75" customHeight="1">
      <c r="G260" s="50"/>
      <c r="H260" s="50"/>
    </row>
    <row r="261" ht="12.75" customHeight="1">
      <c r="G261" s="50"/>
      <c r="H261" s="50"/>
    </row>
    <row r="262" ht="12.75" customHeight="1">
      <c r="G262" s="50"/>
      <c r="H262" s="50"/>
    </row>
    <row r="263" ht="12.75" customHeight="1">
      <c r="G263" s="50"/>
      <c r="H263" s="50"/>
    </row>
    <row r="264" ht="12.75" customHeight="1">
      <c r="G264" s="50"/>
      <c r="H264" s="50"/>
    </row>
    <row r="265" ht="12.75" customHeight="1">
      <c r="G265" s="50"/>
      <c r="H265" s="50"/>
    </row>
    <row r="266" ht="12.75" customHeight="1">
      <c r="G266" s="50"/>
      <c r="H266" s="50"/>
    </row>
    <row r="267" ht="12.75" customHeight="1">
      <c r="G267" s="50"/>
      <c r="H267" s="50"/>
    </row>
    <row r="268" ht="12.75" customHeight="1">
      <c r="G268" s="50"/>
      <c r="H268" s="50"/>
    </row>
    <row r="269" ht="12.75" customHeight="1">
      <c r="G269" s="50"/>
      <c r="H269" s="50"/>
    </row>
    <row r="270" ht="12.75" customHeight="1">
      <c r="G270" s="50"/>
      <c r="H270" s="50"/>
    </row>
    <row r="271" ht="12.75" customHeight="1">
      <c r="G271" s="50"/>
      <c r="H271" s="50"/>
    </row>
    <row r="272" ht="12.75" customHeight="1">
      <c r="G272" s="50"/>
      <c r="H272" s="50"/>
    </row>
    <row r="273" ht="12.75" customHeight="1">
      <c r="G273" s="50"/>
      <c r="H273" s="50"/>
    </row>
    <row r="274" ht="12.75" customHeight="1">
      <c r="G274" s="50"/>
      <c r="H274" s="50"/>
    </row>
    <row r="275" ht="12.75" customHeight="1">
      <c r="G275" s="50"/>
      <c r="H275" s="50"/>
    </row>
    <row r="276" ht="12.75" customHeight="1">
      <c r="G276" s="50"/>
      <c r="H276" s="50"/>
    </row>
    <row r="277" ht="12.75" customHeight="1">
      <c r="G277" s="50"/>
      <c r="H277" s="50"/>
    </row>
    <row r="278" ht="12.75" customHeight="1">
      <c r="G278" s="50"/>
      <c r="H278" s="50"/>
    </row>
    <row r="279" ht="12.75" customHeight="1">
      <c r="G279" s="50"/>
      <c r="H279" s="50"/>
    </row>
    <row r="280" ht="12.75" customHeight="1">
      <c r="G280" s="50"/>
      <c r="H280" s="50"/>
    </row>
    <row r="281" ht="12.75" customHeight="1">
      <c r="G281" s="50"/>
      <c r="H281" s="50"/>
    </row>
    <row r="282" ht="12.75" customHeight="1">
      <c r="G282" s="50"/>
      <c r="H282" s="50"/>
    </row>
    <row r="283" ht="12.75" customHeight="1">
      <c r="G283" s="50"/>
      <c r="H283" s="50"/>
    </row>
    <row r="284" ht="12.75" customHeight="1">
      <c r="G284" s="50"/>
      <c r="H284" s="50"/>
    </row>
    <row r="285" ht="12.75" customHeight="1">
      <c r="G285" s="50"/>
      <c r="H285" s="50"/>
    </row>
    <row r="286" ht="12.75" customHeight="1">
      <c r="G286" s="50"/>
      <c r="H286" s="50"/>
    </row>
    <row r="287" ht="12.75" customHeight="1">
      <c r="G287" s="50"/>
      <c r="H287" s="50"/>
    </row>
    <row r="288" ht="12.75" customHeight="1">
      <c r="G288" s="50"/>
      <c r="H288" s="50"/>
    </row>
    <row r="289" ht="12.75" customHeight="1">
      <c r="G289" s="50"/>
      <c r="H289" s="50"/>
    </row>
    <row r="290" ht="12.75" customHeight="1">
      <c r="G290" s="50"/>
      <c r="H290" s="50"/>
    </row>
    <row r="291" ht="12.75" customHeight="1">
      <c r="G291" s="50"/>
      <c r="H291" s="50"/>
    </row>
    <row r="292" ht="12.75" customHeight="1">
      <c r="G292" s="50"/>
      <c r="H292" s="50"/>
    </row>
    <row r="293" ht="12.75" customHeight="1">
      <c r="G293" s="50"/>
      <c r="H293" s="50"/>
    </row>
    <row r="294" ht="12.75" customHeight="1">
      <c r="G294" s="50"/>
      <c r="H294" s="50"/>
    </row>
    <row r="295" ht="12.75" customHeight="1">
      <c r="G295" s="50"/>
      <c r="H295" s="50"/>
    </row>
    <row r="296" ht="12.75" customHeight="1">
      <c r="G296" s="50"/>
      <c r="H296" s="50"/>
    </row>
    <row r="297" ht="12.75" customHeight="1">
      <c r="G297" s="50"/>
      <c r="H297" s="50"/>
    </row>
    <row r="298" ht="12.75" customHeight="1">
      <c r="G298" s="50"/>
      <c r="H298" s="50"/>
    </row>
    <row r="299" ht="12.75" customHeight="1">
      <c r="G299" s="50"/>
      <c r="H299" s="50"/>
    </row>
    <row r="300" ht="12.75" customHeight="1">
      <c r="G300" s="50"/>
      <c r="H300" s="50"/>
    </row>
    <row r="301" ht="12.75" customHeight="1">
      <c r="G301" s="50"/>
      <c r="H301" s="50"/>
    </row>
    <row r="302" ht="12.75" customHeight="1">
      <c r="G302" s="50"/>
      <c r="H302" s="50"/>
    </row>
    <row r="303" ht="12.75" customHeight="1">
      <c r="G303" s="50"/>
      <c r="H303" s="50"/>
    </row>
    <row r="304" ht="12.75" customHeight="1">
      <c r="G304" s="50"/>
      <c r="H304" s="50"/>
    </row>
    <row r="305" ht="12.75" customHeight="1">
      <c r="G305" s="50"/>
      <c r="H305" s="50"/>
    </row>
    <row r="306" ht="12.75" customHeight="1">
      <c r="G306" s="50"/>
      <c r="H306" s="50"/>
    </row>
    <row r="307" ht="12.75" customHeight="1">
      <c r="G307" s="50"/>
      <c r="H307" s="50"/>
    </row>
    <row r="308" ht="12.75" customHeight="1">
      <c r="G308" s="50"/>
      <c r="H308" s="50"/>
    </row>
    <row r="309" ht="12.75" customHeight="1">
      <c r="G309" s="50"/>
      <c r="H309" s="50"/>
    </row>
    <row r="310" ht="12.75" customHeight="1">
      <c r="G310" s="50"/>
      <c r="H310" s="50"/>
    </row>
    <row r="311" ht="12.75" customHeight="1">
      <c r="G311" s="50"/>
      <c r="H311" s="50"/>
    </row>
    <row r="312" ht="12.75" customHeight="1">
      <c r="G312" s="50"/>
      <c r="H312" s="50"/>
    </row>
    <row r="313" ht="12.75" customHeight="1">
      <c r="G313" s="50"/>
      <c r="H313" s="50"/>
    </row>
    <row r="314" ht="12.75" customHeight="1">
      <c r="G314" s="50"/>
      <c r="H314" s="50"/>
    </row>
    <row r="315" ht="12.75" customHeight="1">
      <c r="G315" s="50"/>
      <c r="H315" s="50"/>
    </row>
    <row r="316" ht="12.75" customHeight="1">
      <c r="G316" s="50"/>
      <c r="H316" s="50"/>
    </row>
    <row r="317" ht="12.75" customHeight="1">
      <c r="G317" s="50"/>
      <c r="H317" s="50"/>
    </row>
    <row r="318" ht="12.75" customHeight="1">
      <c r="G318" s="50"/>
      <c r="H318" s="50"/>
    </row>
    <row r="319" ht="12.75" customHeight="1">
      <c r="G319" s="50"/>
      <c r="H319" s="50"/>
    </row>
    <row r="320" ht="12.75" customHeight="1">
      <c r="G320" s="50"/>
      <c r="H320" s="50"/>
    </row>
    <row r="321" ht="12.75" customHeight="1">
      <c r="G321" s="50"/>
      <c r="H321" s="50"/>
    </row>
    <row r="322" ht="12.75" customHeight="1">
      <c r="G322" s="50"/>
      <c r="H322" s="50"/>
    </row>
    <row r="323" ht="12.75" customHeight="1">
      <c r="G323" s="50"/>
      <c r="H323" s="50"/>
    </row>
    <row r="324" ht="12.75" customHeight="1">
      <c r="G324" s="50"/>
      <c r="H324" s="50"/>
    </row>
    <row r="325" ht="12.75" customHeight="1">
      <c r="G325" s="50"/>
      <c r="H325" s="50"/>
    </row>
    <row r="326" ht="12.75" customHeight="1">
      <c r="G326" s="50"/>
      <c r="H326" s="50"/>
    </row>
    <row r="327" ht="12.75" customHeight="1">
      <c r="G327" s="50"/>
      <c r="H327" s="50"/>
    </row>
    <row r="328" ht="12.75" customHeight="1">
      <c r="G328" s="50"/>
      <c r="H328" s="50"/>
    </row>
    <row r="329" ht="12.75" customHeight="1">
      <c r="G329" s="50"/>
      <c r="H329" s="50"/>
    </row>
    <row r="330" ht="12.75" customHeight="1">
      <c r="G330" s="50"/>
      <c r="H330" s="50"/>
    </row>
    <row r="331" ht="12.75" customHeight="1">
      <c r="G331" s="50"/>
      <c r="H331" s="50"/>
    </row>
    <row r="332" ht="12.75" customHeight="1">
      <c r="G332" s="50"/>
      <c r="H332" s="50"/>
    </row>
    <row r="333" ht="12.75" customHeight="1">
      <c r="G333" s="50"/>
      <c r="H333" s="50"/>
    </row>
    <row r="334" ht="12.75" customHeight="1">
      <c r="G334" s="50"/>
      <c r="H334" s="50"/>
    </row>
    <row r="335" ht="12.75" customHeight="1">
      <c r="G335" s="50"/>
      <c r="H335" s="50"/>
    </row>
    <row r="336" ht="12.75" customHeight="1">
      <c r="G336" s="50"/>
      <c r="H336" s="50"/>
    </row>
    <row r="337" ht="12.75" customHeight="1">
      <c r="G337" s="50"/>
      <c r="H337" s="50"/>
    </row>
    <row r="338" ht="12.75" customHeight="1">
      <c r="G338" s="50"/>
      <c r="H338" s="50"/>
    </row>
    <row r="339" ht="12.75" customHeight="1">
      <c r="G339" s="50"/>
      <c r="H339" s="50"/>
    </row>
    <row r="340" ht="12.75" customHeight="1">
      <c r="G340" s="50"/>
      <c r="H340" s="50"/>
    </row>
    <row r="341" ht="12.75" customHeight="1">
      <c r="G341" s="50"/>
      <c r="H341" s="50"/>
    </row>
    <row r="342" ht="12.75" customHeight="1">
      <c r="G342" s="50"/>
      <c r="H342" s="50"/>
    </row>
    <row r="343" ht="12.75" customHeight="1">
      <c r="G343" s="50"/>
      <c r="H343" s="50"/>
    </row>
    <row r="344" ht="12.75" customHeight="1">
      <c r="G344" s="50"/>
      <c r="H344" s="50"/>
    </row>
    <row r="345" ht="12.75" customHeight="1">
      <c r="G345" s="50"/>
      <c r="H345" s="50"/>
    </row>
    <row r="346" ht="12.75" customHeight="1">
      <c r="G346" s="50"/>
      <c r="H346" s="50"/>
    </row>
    <row r="347" ht="12.75" customHeight="1">
      <c r="G347" s="50"/>
      <c r="H347" s="50"/>
    </row>
    <row r="348" ht="12.75" customHeight="1">
      <c r="G348" s="50"/>
      <c r="H348" s="50"/>
    </row>
    <row r="349" ht="12.75" customHeight="1">
      <c r="G349" s="50"/>
      <c r="H349" s="50"/>
    </row>
    <row r="350" ht="12.75" customHeight="1">
      <c r="G350" s="50"/>
      <c r="H350" s="50"/>
    </row>
    <row r="351" ht="12.75" customHeight="1">
      <c r="G351" s="50"/>
      <c r="H351" s="50"/>
    </row>
    <row r="352" ht="12.75" customHeight="1">
      <c r="G352" s="50"/>
      <c r="H352" s="50"/>
    </row>
    <row r="353" ht="12.75" customHeight="1">
      <c r="G353" s="50"/>
      <c r="H353" s="50"/>
    </row>
    <row r="354" ht="12.75" customHeight="1">
      <c r="G354" s="50"/>
      <c r="H354" s="50"/>
    </row>
    <row r="355" ht="12.75" customHeight="1">
      <c r="G355" s="50"/>
      <c r="H355" s="50"/>
    </row>
    <row r="356" ht="12.75" customHeight="1">
      <c r="G356" s="50"/>
      <c r="H356" s="50"/>
    </row>
    <row r="357" ht="12.75" customHeight="1">
      <c r="G357" s="50"/>
      <c r="H357" s="50"/>
    </row>
    <row r="358" ht="12.75" customHeight="1">
      <c r="G358" s="50"/>
      <c r="H358" s="50"/>
    </row>
    <row r="359" ht="12.75" customHeight="1">
      <c r="G359" s="50"/>
      <c r="H359" s="50"/>
    </row>
    <row r="360" ht="12.75" customHeight="1">
      <c r="G360" s="50"/>
      <c r="H360" s="50"/>
    </row>
    <row r="361" ht="12.75" customHeight="1">
      <c r="G361" s="50"/>
      <c r="H361" s="50"/>
    </row>
    <row r="362" ht="12.75" customHeight="1">
      <c r="G362" s="50"/>
      <c r="H362" s="50"/>
    </row>
    <row r="363" ht="12.75" customHeight="1">
      <c r="G363" s="50"/>
      <c r="H363" s="50"/>
    </row>
    <row r="364" ht="12.75" customHeight="1">
      <c r="G364" s="50"/>
      <c r="H364" s="50"/>
    </row>
    <row r="365" ht="12.75" customHeight="1">
      <c r="G365" s="50"/>
      <c r="H365" s="50"/>
    </row>
    <row r="366" ht="12.75" customHeight="1">
      <c r="G366" s="50"/>
      <c r="H366" s="50"/>
    </row>
    <row r="367" ht="12.75" customHeight="1">
      <c r="G367" s="50"/>
      <c r="H367" s="50"/>
    </row>
    <row r="368" ht="12.75" customHeight="1">
      <c r="G368" s="50"/>
      <c r="H368" s="50"/>
    </row>
    <row r="369" ht="12.75" customHeight="1">
      <c r="G369" s="50"/>
      <c r="H369" s="50"/>
    </row>
    <row r="370" ht="12.75" customHeight="1">
      <c r="G370" s="50"/>
      <c r="H370" s="50"/>
    </row>
    <row r="371" ht="12.75" customHeight="1">
      <c r="G371" s="50"/>
      <c r="H371" s="50"/>
    </row>
    <row r="372" ht="12.75" customHeight="1">
      <c r="G372" s="50"/>
      <c r="H372" s="50"/>
    </row>
    <row r="373" ht="12.75" customHeight="1">
      <c r="G373" s="50"/>
      <c r="H373" s="50"/>
    </row>
    <row r="374" ht="12.75" customHeight="1">
      <c r="G374" s="50"/>
      <c r="H374" s="50"/>
    </row>
    <row r="375" ht="12.75" customHeight="1">
      <c r="G375" s="50"/>
      <c r="H375" s="50"/>
    </row>
    <row r="376" ht="12.75" customHeight="1">
      <c r="G376" s="50"/>
      <c r="H376" s="50"/>
    </row>
    <row r="377" ht="12.75" customHeight="1">
      <c r="G377" s="50"/>
      <c r="H377" s="50"/>
    </row>
    <row r="378" ht="12.75" customHeight="1">
      <c r="G378" s="50"/>
      <c r="H378" s="50"/>
    </row>
    <row r="379" ht="12.75" customHeight="1">
      <c r="G379" s="50"/>
      <c r="H379" s="50"/>
    </row>
    <row r="380" ht="12.75" customHeight="1">
      <c r="G380" s="50"/>
      <c r="H380" s="50"/>
    </row>
    <row r="381" ht="12.75" customHeight="1">
      <c r="G381" s="50"/>
      <c r="H381" s="50"/>
    </row>
    <row r="382" ht="12.75" customHeight="1">
      <c r="G382" s="50"/>
      <c r="H382" s="50"/>
    </row>
    <row r="383" ht="12.75" customHeight="1">
      <c r="G383" s="50"/>
      <c r="H383" s="50"/>
    </row>
    <row r="384" ht="12.75" customHeight="1">
      <c r="G384" s="50"/>
      <c r="H384" s="50"/>
    </row>
    <row r="385" ht="12.75" customHeight="1">
      <c r="G385" s="50"/>
      <c r="H385" s="50"/>
    </row>
    <row r="386" ht="12.75" customHeight="1">
      <c r="G386" s="50"/>
      <c r="H386" s="50"/>
    </row>
    <row r="387" ht="12.75" customHeight="1">
      <c r="G387" s="50"/>
      <c r="H387" s="50"/>
    </row>
    <row r="388" ht="12.75" customHeight="1">
      <c r="G388" s="50"/>
      <c r="H388" s="50"/>
    </row>
    <row r="389" ht="12.75" customHeight="1">
      <c r="G389" s="50"/>
      <c r="H389" s="50"/>
    </row>
    <row r="390" ht="12.75" customHeight="1">
      <c r="G390" s="50"/>
      <c r="H390" s="50"/>
    </row>
    <row r="391" ht="12.75" customHeight="1">
      <c r="G391" s="50"/>
      <c r="H391" s="50"/>
    </row>
    <row r="392" ht="12.75" customHeight="1">
      <c r="G392" s="50"/>
      <c r="H392" s="50"/>
    </row>
    <row r="393" ht="12.75" customHeight="1">
      <c r="G393" s="50"/>
      <c r="H393" s="50"/>
    </row>
    <row r="394" ht="12.75" customHeight="1">
      <c r="G394" s="50"/>
      <c r="H394" s="50"/>
    </row>
    <row r="395" ht="12.75" customHeight="1">
      <c r="G395" s="50"/>
      <c r="H395" s="50"/>
    </row>
    <row r="396" ht="12.75" customHeight="1">
      <c r="G396" s="50"/>
      <c r="H396" s="50"/>
    </row>
    <row r="397" ht="12.75" customHeight="1">
      <c r="G397" s="50"/>
      <c r="H397" s="50"/>
    </row>
    <row r="398" ht="12.75" customHeight="1">
      <c r="G398" s="50"/>
      <c r="H398" s="50"/>
    </row>
    <row r="399" ht="12.75" customHeight="1">
      <c r="G399" s="50"/>
      <c r="H399" s="50"/>
    </row>
    <row r="400" ht="12.75" customHeight="1">
      <c r="G400" s="50"/>
      <c r="H400" s="50"/>
    </row>
    <row r="401" ht="12.75" customHeight="1">
      <c r="G401" s="50"/>
      <c r="H401" s="50"/>
    </row>
    <row r="402" ht="12.75" customHeight="1">
      <c r="G402" s="50"/>
      <c r="H402" s="50"/>
    </row>
    <row r="403" ht="12.75" customHeight="1">
      <c r="G403" s="50"/>
      <c r="H403" s="50"/>
    </row>
    <row r="404" ht="12.75" customHeight="1">
      <c r="G404" s="50"/>
      <c r="H404" s="50"/>
    </row>
    <row r="405" ht="12.75" customHeight="1">
      <c r="G405" s="50"/>
      <c r="H405" s="50"/>
    </row>
    <row r="406" ht="12.75" customHeight="1">
      <c r="G406" s="50"/>
      <c r="H406" s="50"/>
    </row>
    <row r="407" ht="12.75" customHeight="1">
      <c r="G407" s="50"/>
      <c r="H407" s="50"/>
    </row>
    <row r="408" ht="12.75" customHeight="1">
      <c r="G408" s="50"/>
      <c r="H408" s="50"/>
    </row>
    <row r="409" ht="12.75" customHeight="1">
      <c r="G409" s="50"/>
      <c r="H409" s="50"/>
    </row>
    <row r="410" ht="12.75" customHeight="1">
      <c r="G410" s="50"/>
      <c r="H410" s="50"/>
    </row>
    <row r="411" ht="12.75" customHeight="1">
      <c r="G411" s="50"/>
      <c r="H411" s="50"/>
    </row>
    <row r="412" ht="12.75" customHeight="1">
      <c r="G412" s="50"/>
      <c r="H412" s="50"/>
    </row>
    <row r="413" ht="12.75" customHeight="1">
      <c r="G413" s="50"/>
      <c r="H413" s="50"/>
    </row>
    <row r="414" ht="12.75" customHeight="1">
      <c r="G414" s="50"/>
      <c r="H414" s="50"/>
    </row>
    <row r="415" ht="12.75" customHeight="1">
      <c r="G415" s="50"/>
      <c r="H415" s="50"/>
    </row>
    <row r="416" ht="12.75" customHeight="1">
      <c r="G416" s="50"/>
      <c r="H416" s="50"/>
    </row>
    <row r="417" ht="12.75" customHeight="1">
      <c r="G417" s="50"/>
      <c r="H417" s="50"/>
    </row>
    <row r="418" ht="12.75" customHeight="1">
      <c r="G418" s="50"/>
      <c r="H418" s="50"/>
    </row>
    <row r="419" ht="12.75" customHeight="1">
      <c r="G419" s="50"/>
      <c r="H419" s="50"/>
    </row>
    <row r="420" ht="12.75" customHeight="1">
      <c r="G420" s="50"/>
      <c r="H420" s="50"/>
    </row>
    <row r="421" ht="12.75" customHeight="1">
      <c r="G421" s="50"/>
      <c r="H421" s="50"/>
    </row>
    <row r="422" ht="12.75" customHeight="1">
      <c r="G422" s="50"/>
      <c r="H422" s="50"/>
    </row>
    <row r="423" ht="12.75" customHeight="1">
      <c r="G423" s="50"/>
      <c r="H423" s="50"/>
    </row>
    <row r="424" ht="12.75" customHeight="1">
      <c r="G424" s="50"/>
      <c r="H424" s="50"/>
    </row>
    <row r="425" ht="12.75" customHeight="1">
      <c r="G425" s="50"/>
      <c r="H425" s="50"/>
    </row>
    <row r="426" ht="12.75" customHeight="1">
      <c r="G426" s="50"/>
      <c r="H426" s="50"/>
    </row>
    <row r="427" ht="12.75" customHeight="1">
      <c r="G427" s="50"/>
      <c r="H427" s="50"/>
    </row>
    <row r="428" ht="12.75" customHeight="1">
      <c r="G428" s="50"/>
      <c r="H428" s="50"/>
    </row>
    <row r="429" ht="12.75" customHeight="1">
      <c r="G429" s="50"/>
      <c r="H429" s="50"/>
    </row>
    <row r="430" ht="12.75" customHeight="1">
      <c r="G430" s="50"/>
      <c r="H430" s="50"/>
    </row>
    <row r="431" ht="12.75" customHeight="1">
      <c r="G431" s="50"/>
      <c r="H431" s="50"/>
    </row>
    <row r="432" ht="12.75" customHeight="1">
      <c r="G432" s="50"/>
      <c r="H432" s="50"/>
    </row>
    <row r="433" ht="12.75" customHeight="1">
      <c r="G433" s="50"/>
      <c r="H433" s="50"/>
    </row>
    <row r="434" ht="12.75" customHeight="1">
      <c r="G434" s="50"/>
      <c r="H434" s="50"/>
    </row>
    <row r="435" ht="12.75" customHeight="1">
      <c r="G435" s="50"/>
      <c r="H435" s="50"/>
    </row>
    <row r="436" ht="12.75" customHeight="1">
      <c r="G436" s="50"/>
      <c r="H436" s="50"/>
    </row>
    <row r="437" ht="12.75" customHeight="1">
      <c r="G437" s="50"/>
      <c r="H437" s="50"/>
    </row>
    <row r="438" ht="12.75" customHeight="1">
      <c r="G438" s="50"/>
      <c r="H438" s="50"/>
    </row>
    <row r="439" ht="12.75" customHeight="1">
      <c r="G439" s="50"/>
      <c r="H439" s="50"/>
    </row>
    <row r="440" ht="12.75" customHeight="1">
      <c r="G440" s="50"/>
      <c r="H440" s="50"/>
    </row>
    <row r="441" ht="12.75" customHeight="1">
      <c r="G441" s="50"/>
      <c r="H441" s="50"/>
    </row>
    <row r="442" ht="12.75" customHeight="1">
      <c r="G442" s="50"/>
      <c r="H442" s="50"/>
    </row>
    <row r="443" ht="12.75" customHeight="1">
      <c r="G443" s="50"/>
      <c r="H443" s="50"/>
    </row>
    <row r="444" ht="12.75" customHeight="1">
      <c r="G444" s="50"/>
      <c r="H444" s="50"/>
    </row>
    <row r="445" ht="12.75" customHeight="1">
      <c r="G445" s="50"/>
      <c r="H445" s="50"/>
    </row>
    <row r="446" ht="12.75" customHeight="1">
      <c r="G446" s="50"/>
      <c r="H446" s="50"/>
    </row>
    <row r="447" ht="12.75" customHeight="1">
      <c r="G447" s="50"/>
      <c r="H447" s="50"/>
    </row>
    <row r="448" ht="12.75" customHeight="1">
      <c r="G448" s="50"/>
      <c r="H448" s="50"/>
    </row>
    <row r="449" ht="12.75" customHeight="1">
      <c r="G449" s="50"/>
      <c r="H449" s="50"/>
    </row>
    <row r="450" ht="12.75" customHeight="1">
      <c r="G450" s="50"/>
      <c r="H450" s="50"/>
    </row>
    <row r="451" ht="12.75" customHeight="1">
      <c r="G451" s="50"/>
      <c r="H451" s="50"/>
    </row>
    <row r="452" ht="12.75" customHeight="1">
      <c r="G452" s="50"/>
      <c r="H452" s="50"/>
    </row>
    <row r="453" ht="12.75" customHeight="1">
      <c r="G453" s="50"/>
      <c r="H453" s="50"/>
    </row>
    <row r="454" ht="12.75" customHeight="1">
      <c r="G454" s="50"/>
      <c r="H454" s="50"/>
    </row>
    <row r="455" ht="12.75" customHeight="1">
      <c r="G455" s="50"/>
      <c r="H455" s="50"/>
    </row>
    <row r="456" ht="12.75" customHeight="1">
      <c r="G456" s="50"/>
      <c r="H456" s="50"/>
    </row>
    <row r="457" ht="12.75" customHeight="1">
      <c r="G457" s="50"/>
      <c r="H457" s="50"/>
    </row>
    <row r="458" ht="12.75" customHeight="1">
      <c r="G458" s="50"/>
      <c r="H458" s="50"/>
    </row>
    <row r="459" ht="12.75" customHeight="1">
      <c r="G459" s="50"/>
      <c r="H459" s="50"/>
    </row>
    <row r="460" ht="12.75" customHeight="1">
      <c r="G460" s="50"/>
      <c r="H460" s="50"/>
    </row>
    <row r="461" ht="12.75" customHeight="1">
      <c r="G461" s="50"/>
      <c r="H461" s="50"/>
    </row>
    <row r="462" ht="12.75" customHeight="1">
      <c r="G462" s="50"/>
      <c r="H462" s="50"/>
    </row>
    <row r="463" ht="12.75" customHeight="1">
      <c r="G463" s="50"/>
      <c r="H463" s="50"/>
    </row>
    <row r="464" ht="12.75" customHeight="1">
      <c r="G464" s="50"/>
      <c r="H464" s="50"/>
    </row>
    <row r="465" ht="12.75" customHeight="1">
      <c r="G465" s="50"/>
      <c r="H465" s="50"/>
    </row>
    <row r="466" ht="12.75" customHeight="1">
      <c r="G466" s="50"/>
      <c r="H466" s="50"/>
    </row>
    <row r="467" ht="12.75" customHeight="1">
      <c r="G467" s="50"/>
      <c r="H467" s="50"/>
    </row>
    <row r="468" ht="12.75" customHeight="1">
      <c r="G468" s="50"/>
      <c r="H468" s="50"/>
    </row>
    <row r="469" ht="12.75" customHeight="1">
      <c r="G469" s="50"/>
      <c r="H469" s="50"/>
    </row>
    <row r="470" ht="12.75" customHeight="1">
      <c r="G470" s="50"/>
      <c r="H470" s="50"/>
    </row>
    <row r="471" ht="12.75" customHeight="1">
      <c r="G471" s="50"/>
      <c r="H471" s="50"/>
    </row>
    <row r="472" ht="12.75" customHeight="1">
      <c r="G472" s="50"/>
      <c r="H472" s="50"/>
    </row>
    <row r="473" ht="12.75" customHeight="1">
      <c r="G473" s="50"/>
      <c r="H473" s="50"/>
    </row>
    <row r="474" ht="12.75" customHeight="1">
      <c r="G474" s="50"/>
      <c r="H474" s="50"/>
    </row>
    <row r="475" ht="12.75" customHeight="1">
      <c r="G475" s="50"/>
      <c r="H475" s="50"/>
    </row>
    <row r="476" ht="12.75" customHeight="1">
      <c r="G476" s="50"/>
      <c r="H476" s="50"/>
    </row>
    <row r="477" ht="12.75" customHeight="1">
      <c r="G477" s="50"/>
      <c r="H477" s="50"/>
    </row>
    <row r="478" ht="12.75" customHeight="1">
      <c r="G478" s="50"/>
      <c r="H478" s="50"/>
    </row>
    <row r="479" ht="12.75" customHeight="1">
      <c r="G479" s="50"/>
      <c r="H479" s="50"/>
    </row>
    <row r="480" ht="12.75" customHeight="1">
      <c r="G480" s="50"/>
      <c r="H480" s="50"/>
    </row>
    <row r="481" ht="12.75" customHeight="1">
      <c r="G481" s="50"/>
      <c r="H481" s="50"/>
    </row>
    <row r="482" ht="12.75" customHeight="1">
      <c r="G482" s="50"/>
      <c r="H482" s="50"/>
    </row>
    <row r="483" ht="12.75" customHeight="1">
      <c r="G483" s="50"/>
      <c r="H483" s="50"/>
    </row>
    <row r="484" ht="12.75" customHeight="1">
      <c r="G484" s="50"/>
      <c r="H484" s="50"/>
    </row>
    <row r="485" ht="12.75" customHeight="1">
      <c r="G485" s="50"/>
      <c r="H485" s="50"/>
    </row>
    <row r="486" ht="12.75" customHeight="1">
      <c r="G486" s="50"/>
      <c r="H486" s="50"/>
    </row>
    <row r="487" ht="12.75" customHeight="1">
      <c r="G487" s="50"/>
      <c r="H487" s="50"/>
    </row>
    <row r="488" ht="12.75" customHeight="1">
      <c r="G488" s="50"/>
      <c r="H488" s="50"/>
    </row>
    <row r="489" ht="12.75" customHeight="1">
      <c r="G489" s="50"/>
      <c r="H489" s="50"/>
    </row>
    <row r="490" ht="12.75" customHeight="1">
      <c r="G490" s="50"/>
      <c r="H490" s="50"/>
    </row>
    <row r="491" ht="12.75" customHeight="1">
      <c r="G491" s="50"/>
      <c r="H491" s="50"/>
    </row>
    <row r="492" ht="12.75" customHeight="1">
      <c r="G492" s="50"/>
      <c r="H492" s="50"/>
    </row>
    <row r="493" ht="12.75" customHeight="1">
      <c r="G493" s="50"/>
      <c r="H493" s="50"/>
    </row>
    <row r="494" ht="12.75" customHeight="1">
      <c r="G494" s="50"/>
      <c r="H494" s="50"/>
    </row>
    <row r="495" ht="12.75" customHeight="1">
      <c r="G495" s="50"/>
      <c r="H495" s="50"/>
    </row>
    <row r="496" ht="12.75" customHeight="1">
      <c r="G496" s="50"/>
      <c r="H496" s="50"/>
    </row>
    <row r="497" ht="12.75" customHeight="1">
      <c r="G497" s="50"/>
      <c r="H497" s="50"/>
    </row>
    <row r="498" ht="12.75" customHeight="1">
      <c r="G498" s="50"/>
      <c r="H498" s="50"/>
    </row>
    <row r="499" ht="12.75" customHeight="1">
      <c r="G499" s="50"/>
      <c r="H499" s="50"/>
    </row>
    <row r="500" ht="12.75" customHeight="1">
      <c r="G500" s="50"/>
      <c r="H500" s="50"/>
    </row>
    <row r="501" ht="12.75" customHeight="1">
      <c r="G501" s="50"/>
      <c r="H501" s="50"/>
    </row>
    <row r="502" ht="12.75" customHeight="1">
      <c r="G502" s="50"/>
      <c r="H502" s="50"/>
    </row>
    <row r="503" ht="12.75" customHeight="1">
      <c r="G503" s="50"/>
      <c r="H503" s="50"/>
    </row>
    <row r="504" ht="12.75" customHeight="1">
      <c r="G504" s="50"/>
      <c r="H504" s="50"/>
    </row>
    <row r="505" ht="12.75" customHeight="1">
      <c r="G505" s="50"/>
      <c r="H505" s="50"/>
    </row>
    <row r="506" ht="12.75" customHeight="1">
      <c r="G506" s="50"/>
      <c r="H506" s="50"/>
    </row>
    <row r="507" ht="12.75" customHeight="1">
      <c r="G507" s="50"/>
      <c r="H507" s="50"/>
    </row>
    <row r="508" ht="12.75" customHeight="1">
      <c r="G508" s="50"/>
      <c r="H508" s="50"/>
    </row>
    <row r="509" ht="12.75" customHeight="1">
      <c r="G509" s="50"/>
      <c r="H509" s="50"/>
    </row>
    <row r="510" ht="12.75" customHeight="1">
      <c r="G510" s="50"/>
      <c r="H510" s="50"/>
    </row>
    <row r="511" ht="12.75" customHeight="1">
      <c r="G511" s="50"/>
      <c r="H511" s="50"/>
    </row>
    <row r="512" ht="12.75" customHeight="1">
      <c r="G512" s="50"/>
      <c r="H512" s="50"/>
    </row>
    <row r="513" ht="12.75" customHeight="1">
      <c r="G513" s="50"/>
      <c r="H513" s="50"/>
    </row>
    <row r="514" ht="12.75" customHeight="1">
      <c r="G514" s="50"/>
      <c r="H514" s="50"/>
    </row>
    <row r="515" ht="12.75" customHeight="1">
      <c r="G515" s="50"/>
      <c r="H515" s="50"/>
    </row>
    <row r="516" ht="12.75" customHeight="1">
      <c r="G516" s="50"/>
      <c r="H516" s="50"/>
    </row>
    <row r="517" ht="12.75" customHeight="1">
      <c r="G517" s="50"/>
      <c r="H517" s="50"/>
    </row>
    <row r="518" ht="12.75" customHeight="1">
      <c r="G518" s="50"/>
      <c r="H518" s="50"/>
    </row>
    <row r="519" ht="12.75" customHeight="1">
      <c r="G519" s="50"/>
      <c r="H519" s="50"/>
    </row>
    <row r="520" ht="12.75" customHeight="1">
      <c r="G520" s="50"/>
      <c r="H520" s="50"/>
    </row>
    <row r="521" ht="12.75" customHeight="1">
      <c r="G521" s="50"/>
      <c r="H521" s="50"/>
    </row>
    <row r="522" ht="12.75" customHeight="1">
      <c r="G522" s="50"/>
      <c r="H522" s="50"/>
    </row>
    <row r="523" ht="12.75" customHeight="1">
      <c r="G523" s="50"/>
      <c r="H523" s="50"/>
    </row>
    <row r="524" ht="12.75" customHeight="1">
      <c r="G524" s="50"/>
      <c r="H524" s="50"/>
    </row>
    <row r="525" ht="12.75" customHeight="1">
      <c r="G525" s="50"/>
      <c r="H525" s="50"/>
    </row>
    <row r="526" ht="12.75" customHeight="1">
      <c r="G526" s="50"/>
      <c r="H526" s="50"/>
    </row>
    <row r="527" ht="12.75" customHeight="1">
      <c r="G527" s="50"/>
      <c r="H527" s="50"/>
    </row>
    <row r="528" ht="12.75" customHeight="1">
      <c r="G528" s="50"/>
      <c r="H528" s="50"/>
    </row>
    <row r="529" ht="12.75" customHeight="1">
      <c r="G529" s="50"/>
      <c r="H529" s="50"/>
    </row>
    <row r="530" ht="12.75" customHeight="1">
      <c r="G530" s="50"/>
      <c r="H530" s="50"/>
    </row>
    <row r="531" ht="12.75" customHeight="1">
      <c r="G531" s="50"/>
      <c r="H531" s="50"/>
    </row>
    <row r="532" ht="12.75" customHeight="1">
      <c r="G532" s="50"/>
      <c r="H532" s="50"/>
    </row>
    <row r="533" ht="12.75" customHeight="1">
      <c r="G533" s="50"/>
      <c r="H533" s="50"/>
    </row>
    <row r="534" ht="12.75" customHeight="1">
      <c r="G534" s="50"/>
      <c r="H534" s="50"/>
    </row>
    <row r="535" ht="12.75" customHeight="1">
      <c r="G535" s="50"/>
      <c r="H535" s="50"/>
    </row>
    <row r="536" ht="12.75" customHeight="1">
      <c r="G536" s="50"/>
      <c r="H536" s="50"/>
    </row>
    <row r="537" ht="12.75" customHeight="1">
      <c r="G537" s="50"/>
      <c r="H537" s="50"/>
    </row>
    <row r="538" ht="12.75" customHeight="1">
      <c r="G538" s="50"/>
      <c r="H538" s="50"/>
    </row>
    <row r="539" ht="12.75" customHeight="1">
      <c r="G539" s="50"/>
      <c r="H539" s="50"/>
    </row>
    <row r="540" ht="12.75" customHeight="1">
      <c r="G540" s="50"/>
      <c r="H540" s="50"/>
    </row>
    <row r="541" ht="12.75" customHeight="1">
      <c r="G541" s="50"/>
      <c r="H541" s="50"/>
    </row>
    <row r="542" ht="12.75" customHeight="1">
      <c r="G542" s="50"/>
      <c r="H542" s="50"/>
    </row>
    <row r="543" ht="12.75" customHeight="1">
      <c r="G543" s="50"/>
      <c r="H543" s="50"/>
    </row>
    <row r="544" ht="12.75" customHeight="1">
      <c r="G544" s="50"/>
      <c r="H544" s="50"/>
    </row>
    <row r="545" ht="12.75" customHeight="1">
      <c r="G545" s="50"/>
      <c r="H545" s="50"/>
    </row>
    <row r="546" ht="12.75" customHeight="1">
      <c r="G546" s="50"/>
      <c r="H546" s="50"/>
    </row>
    <row r="547" ht="12.75" customHeight="1">
      <c r="G547" s="50"/>
      <c r="H547" s="50"/>
    </row>
    <row r="548" ht="12.75" customHeight="1">
      <c r="G548" s="50"/>
      <c r="H548" s="50"/>
    </row>
    <row r="549" ht="12.75" customHeight="1">
      <c r="G549" s="50"/>
      <c r="H549" s="50"/>
    </row>
    <row r="550" ht="12.75" customHeight="1">
      <c r="G550" s="50"/>
      <c r="H550" s="50"/>
    </row>
    <row r="551" ht="12.75" customHeight="1">
      <c r="G551" s="50"/>
      <c r="H551" s="50"/>
    </row>
    <row r="552" ht="12.75" customHeight="1">
      <c r="G552" s="50"/>
      <c r="H552" s="50"/>
    </row>
    <row r="553" ht="12.75" customHeight="1">
      <c r="G553" s="50"/>
      <c r="H553" s="50"/>
    </row>
    <row r="554" ht="12.75" customHeight="1">
      <c r="G554" s="50"/>
      <c r="H554" s="50"/>
    </row>
    <row r="555" ht="12.75" customHeight="1">
      <c r="G555" s="50"/>
      <c r="H555" s="50"/>
    </row>
    <row r="556" ht="12.75" customHeight="1">
      <c r="G556" s="50"/>
      <c r="H556" s="50"/>
    </row>
    <row r="557" ht="12.75" customHeight="1">
      <c r="G557" s="50"/>
      <c r="H557" s="50"/>
    </row>
    <row r="558" ht="12.75" customHeight="1">
      <c r="G558" s="50"/>
      <c r="H558" s="50"/>
    </row>
    <row r="559" ht="12.75" customHeight="1">
      <c r="G559" s="50"/>
      <c r="H559" s="50"/>
    </row>
    <row r="560" ht="12.75" customHeight="1">
      <c r="G560" s="50"/>
      <c r="H560" s="50"/>
    </row>
    <row r="561" ht="12.75" customHeight="1">
      <c r="G561" s="50"/>
      <c r="H561" s="50"/>
    </row>
    <row r="562" ht="12.75" customHeight="1">
      <c r="G562" s="50"/>
      <c r="H562" s="50"/>
    </row>
    <row r="563" ht="12.75" customHeight="1">
      <c r="G563" s="50"/>
      <c r="H563" s="50"/>
    </row>
    <row r="564" ht="12.75" customHeight="1">
      <c r="G564" s="50"/>
      <c r="H564" s="50"/>
    </row>
    <row r="565" ht="12.75" customHeight="1">
      <c r="G565" s="50"/>
      <c r="H565" s="50"/>
    </row>
    <row r="566" ht="12.75" customHeight="1">
      <c r="G566" s="50"/>
      <c r="H566" s="50"/>
    </row>
    <row r="567" ht="12.75" customHeight="1">
      <c r="G567" s="50"/>
      <c r="H567" s="50"/>
    </row>
    <row r="568" ht="12.75" customHeight="1">
      <c r="G568" s="50"/>
      <c r="H568" s="50"/>
    </row>
    <row r="569" ht="12.75" customHeight="1">
      <c r="G569" s="50"/>
      <c r="H569" s="50"/>
    </row>
    <row r="570" ht="12.75" customHeight="1">
      <c r="G570" s="50"/>
      <c r="H570" s="50"/>
    </row>
    <row r="571" ht="12.75" customHeight="1">
      <c r="G571" s="50"/>
      <c r="H571" s="50"/>
    </row>
    <row r="572" ht="12.75" customHeight="1">
      <c r="G572" s="50"/>
      <c r="H572" s="50"/>
    </row>
    <row r="573" ht="12.75" customHeight="1">
      <c r="G573" s="50"/>
      <c r="H573" s="50"/>
    </row>
    <row r="574" ht="12.75" customHeight="1">
      <c r="G574" s="50"/>
      <c r="H574" s="50"/>
    </row>
    <row r="575" ht="12.75" customHeight="1">
      <c r="G575" s="50"/>
      <c r="H575" s="50"/>
    </row>
    <row r="576" ht="12.75" customHeight="1">
      <c r="G576" s="50"/>
      <c r="H576" s="50"/>
    </row>
    <row r="577" ht="12.75" customHeight="1">
      <c r="G577" s="50"/>
      <c r="H577" s="50"/>
    </row>
    <row r="578" ht="12.75" customHeight="1">
      <c r="G578" s="50"/>
      <c r="H578" s="50"/>
    </row>
    <row r="579" ht="12.75" customHeight="1">
      <c r="G579" s="50"/>
      <c r="H579" s="50"/>
    </row>
    <row r="580" ht="12.75" customHeight="1">
      <c r="G580" s="50"/>
      <c r="H580" s="50"/>
    </row>
    <row r="581" ht="12.75" customHeight="1">
      <c r="G581" s="50"/>
      <c r="H581" s="50"/>
    </row>
    <row r="582" ht="12.75" customHeight="1">
      <c r="G582" s="50"/>
      <c r="H582" s="50"/>
    </row>
    <row r="583" ht="12.75" customHeight="1">
      <c r="G583" s="50"/>
      <c r="H583" s="50"/>
    </row>
    <row r="584" ht="12.75" customHeight="1">
      <c r="G584" s="50"/>
      <c r="H584" s="50"/>
    </row>
    <row r="585" ht="12.75" customHeight="1">
      <c r="G585" s="50"/>
      <c r="H585" s="50"/>
    </row>
    <row r="586" ht="12.75" customHeight="1">
      <c r="G586" s="50"/>
      <c r="H586" s="50"/>
    </row>
    <row r="587" ht="12.75" customHeight="1">
      <c r="G587" s="50"/>
      <c r="H587" s="50"/>
    </row>
    <row r="588" ht="12.75" customHeight="1">
      <c r="G588" s="50"/>
      <c r="H588" s="50"/>
    </row>
    <row r="589" ht="12.75" customHeight="1">
      <c r="G589" s="50"/>
      <c r="H589" s="50"/>
    </row>
    <row r="590" ht="12.75" customHeight="1">
      <c r="G590" s="50"/>
      <c r="H590" s="50"/>
    </row>
    <row r="591" ht="12.75" customHeight="1">
      <c r="G591" s="50"/>
      <c r="H591" s="50"/>
    </row>
    <row r="592" ht="12.75" customHeight="1">
      <c r="G592" s="50"/>
      <c r="H592" s="50"/>
    </row>
    <row r="593" ht="12.75" customHeight="1">
      <c r="G593" s="50"/>
      <c r="H593" s="50"/>
    </row>
    <row r="594" ht="12.75" customHeight="1">
      <c r="G594" s="50"/>
      <c r="H594" s="50"/>
    </row>
    <row r="595" ht="12.75" customHeight="1">
      <c r="G595" s="50"/>
      <c r="H595" s="50"/>
    </row>
    <row r="596" ht="12.75" customHeight="1">
      <c r="G596" s="50"/>
      <c r="H596" s="50"/>
    </row>
    <row r="597" ht="12.75" customHeight="1">
      <c r="G597" s="50"/>
      <c r="H597" s="50"/>
    </row>
    <row r="598" ht="12.75" customHeight="1">
      <c r="G598" s="50"/>
      <c r="H598" s="50"/>
    </row>
    <row r="599" ht="12.75" customHeight="1">
      <c r="G599" s="50"/>
      <c r="H599" s="50"/>
    </row>
    <row r="600" ht="12.75" customHeight="1">
      <c r="G600" s="50"/>
      <c r="H600" s="50"/>
    </row>
    <row r="601" ht="12.75" customHeight="1">
      <c r="G601" s="50"/>
      <c r="H601" s="50"/>
    </row>
    <row r="602" ht="12.75" customHeight="1">
      <c r="G602" s="50"/>
      <c r="H602" s="50"/>
    </row>
    <row r="603" ht="12.75" customHeight="1">
      <c r="G603" s="50"/>
      <c r="H603" s="50"/>
    </row>
    <row r="604" ht="12.75" customHeight="1">
      <c r="G604" s="50"/>
      <c r="H604" s="50"/>
    </row>
    <row r="605" ht="12.75" customHeight="1">
      <c r="G605" s="50"/>
      <c r="H605" s="50"/>
    </row>
    <row r="606" ht="12.75" customHeight="1">
      <c r="G606" s="50"/>
      <c r="H606" s="50"/>
    </row>
    <row r="607" ht="12.75" customHeight="1">
      <c r="G607" s="50"/>
      <c r="H607" s="50"/>
    </row>
    <row r="608" ht="12.75" customHeight="1">
      <c r="G608" s="50"/>
      <c r="H608" s="50"/>
    </row>
    <row r="609" ht="12.75" customHeight="1">
      <c r="G609" s="50"/>
      <c r="H609" s="50"/>
    </row>
    <row r="610" ht="12.75" customHeight="1">
      <c r="G610" s="50"/>
      <c r="H610" s="50"/>
    </row>
    <row r="611" ht="12.75" customHeight="1">
      <c r="G611" s="50"/>
      <c r="H611" s="50"/>
    </row>
    <row r="612" ht="12.75" customHeight="1">
      <c r="G612" s="50"/>
      <c r="H612" s="50"/>
    </row>
    <row r="613" ht="12.75" customHeight="1">
      <c r="G613" s="50"/>
      <c r="H613" s="50"/>
    </row>
    <row r="614" ht="12.75" customHeight="1">
      <c r="G614" s="50"/>
      <c r="H614" s="50"/>
    </row>
    <row r="615" ht="12.75" customHeight="1">
      <c r="G615" s="50"/>
      <c r="H615" s="50"/>
    </row>
    <row r="616" ht="12.75" customHeight="1">
      <c r="G616" s="50"/>
      <c r="H616" s="50"/>
    </row>
    <row r="617" ht="12.75" customHeight="1">
      <c r="G617" s="50"/>
      <c r="H617" s="50"/>
    </row>
    <row r="618" ht="12.75" customHeight="1">
      <c r="G618" s="50"/>
      <c r="H618" s="50"/>
    </row>
    <row r="619" ht="12.75" customHeight="1">
      <c r="G619" s="50"/>
      <c r="H619" s="50"/>
    </row>
    <row r="620" ht="12.75" customHeight="1">
      <c r="G620" s="50"/>
      <c r="H620" s="50"/>
    </row>
    <row r="621" ht="12.75" customHeight="1">
      <c r="G621" s="50"/>
      <c r="H621" s="50"/>
    </row>
    <row r="622" ht="12.75" customHeight="1">
      <c r="G622" s="50"/>
      <c r="H622" s="50"/>
    </row>
    <row r="623" ht="12.75" customHeight="1">
      <c r="G623" s="50"/>
      <c r="H623" s="50"/>
    </row>
    <row r="624" ht="12.75" customHeight="1">
      <c r="G624" s="50"/>
      <c r="H624" s="50"/>
    </row>
    <row r="625" ht="12.75" customHeight="1">
      <c r="G625" s="50"/>
      <c r="H625" s="50"/>
    </row>
    <row r="626" ht="12.75" customHeight="1">
      <c r="G626" s="50"/>
      <c r="H626" s="50"/>
    </row>
    <row r="627" ht="12.75" customHeight="1">
      <c r="G627" s="50"/>
      <c r="H627" s="50"/>
    </row>
    <row r="628" ht="12.75" customHeight="1">
      <c r="G628" s="50"/>
      <c r="H628" s="50"/>
    </row>
    <row r="629" ht="12.75" customHeight="1">
      <c r="G629" s="50"/>
      <c r="H629" s="50"/>
    </row>
    <row r="630" ht="12.75" customHeight="1">
      <c r="G630" s="50"/>
      <c r="H630" s="50"/>
    </row>
    <row r="631" ht="12.75" customHeight="1">
      <c r="G631" s="50"/>
      <c r="H631" s="50"/>
    </row>
    <row r="632" ht="12.75" customHeight="1">
      <c r="G632" s="50"/>
      <c r="H632" s="50"/>
    </row>
    <row r="633" ht="12.75" customHeight="1">
      <c r="G633" s="50"/>
      <c r="H633" s="50"/>
    </row>
    <row r="634" ht="12.75" customHeight="1">
      <c r="G634" s="50"/>
      <c r="H634" s="50"/>
    </row>
    <row r="635" ht="12.75" customHeight="1">
      <c r="G635" s="50"/>
      <c r="H635" s="50"/>
    </row>
    <row r="636" ht="12.75" customHeight="1">
      <c r="G636" s="50"/>
      <c r="H636" s="50"/>
    </row>
    <row r="637" ht="12.75" customHeight="1">
      <c r="G637" s="50"/>
      <c r="H637" s="50"/>
    </row>
    <row r="638" ht="12.75" customHeight="1">
      <c r="G638" s="50"/>
      <c r="H638" s="50"/>
    </row>
    <row r="639" ht="12.75" customHeight="1">
      <c r="G639" s="50"/>
      <c r="H639" s="50"/>
    </row>
    <row r="640" ht="12.75" customHeight="1">
      <c r="G640" s="50"/>
      <c r="H640" s="50"/>
    </row>
    <row r="641" ht="12.75" customHeight="1">
      <c r="G641" s="50"/>
      <c r="H641" s="50"/>
    </row>
    <row r="642" ht="12.75" customHeight="1">
      <c r="G642" s="50"/>
      <c r="H642" s="50"/>
    </row>
    <row r="643" ht="12.75" customHeight="1">
      <c r="G643" s="50"/>
      <c r="H643" s="50"/>
    </row>
    <row r="644" ht="12.75" customHeight="1">
      <c r="G644" s="50"/>
      <c r="H644" s="50"/>
    </row>
    <row r="645" ht="12.75" customHeight="1">
      <c r="G645" s="50"/>
      <c r="H645" s="50"/>
    </row>
    <row r="646" ht="12.75" customHeight="1">
      <c r="G646" s="50"/>
      <c r="H646" s="50"/>
    </row>
    <row r="647" ht="12.75" customHeight="1">
      <c r="G647" s="50"/>
      <c r="H647" s="50"/>
    </row>
    <row r="648" ht="12.75" customHeight="1">
      <c r="G648" s="50"/>
      <c r="H648" s="50"/>
    </row>
    <row r="649" ht="12.75" customHeight="1">
      <c r="G649" s="50"/>
      <c r="H649" s="50"/>
    </row>
    <row r="650" ht="12.75" customHeight="1">
      <c r="G650" s="50"/>
      <c r="H650" s="50"/>
    </row>
    <row r="651" ht="12.75" customHeight="1">
      <c r="G651" s="50"/>
      <c r="H651" s="50"/>
    </row>
    <row r="652" ht="12.75" customHeight="1">
      <c r="G652" s="50"/>
      <c r="H652" s="50"/>
    </row>
    <row r="653" ht="12.75" customHeight="1">
      <c r="G653" s="50"/>
      <c r="H653" s="50"/>
    </row>
    <row r="654" ht="12.75" customHeight="1">
      <c r="G654" s="50"/>
      <c r="H654" s="50"/>
    </row>
    <row r="655" ht="12.75" customHeight="1">
      <c r="G655" s="50"/>
      <c r="H655" s="50"/>
    </row>
    <row r="656" ht="12.75" customHeight="1">
      <c r="G656" s="50"/>
      <c r="H656" s="50"/>
    </row>
    <row r="657" ht="12.75" customHeight="1">
      <c r="G657" s="50"/>
      <c r="H657" s="50"/>
    </row>
    <row r="658" ht="12.75" customHeight="1">
      <c r="G658" s="50"/>
      <c r="H658" s="50"/>
    </row>
    <row r="659" ht="12.75" customHeight="1">
      <c r="G659" s="50"/>
      <c r="H659" s="50"/>
    </row>
    <row r="660" ht="12.75" customHeight="1">
      <c r="G660" s="50"/>
      <c r="H660" s="50"/>
    </row>
    <row r="661" ht="12.75" customHeight="1">
      <c r="G661" s="50"/>
      <c r="H661" s="50"/>
    </row>
    <row r="662" ht="12.75" customHeight="1">
      <c r="G662" s="50"/>
      <c r="H662" s="50"/>
    </row>
    <row r="663" ht="12.75" customHeight="1">
      <c r="G663" s="50"/>
      <c r="H663" s="50"/>
    </row>
    <row r="664" ht="12.75" customHeight="1">
      <c r="G664" s="50"/>
      <c r="H664" s="50"/>
    </row>
    <row r="665" ht="12.75" customHeight="1">
      <c r="G665" s="50"/>
      <c r="H665" s="50"/>
    </row>
    <row r="666" ht="12.75" customHeight="1">
      <c r="G666" s="50"/>
      <c r="H666" s="50"/>
    </row>
    <row r="667" ht="12.75" customHeight="1">
      <c r="G667" s="50"/>
      <c r="H667" s="50"/>
    </row>
    <row r="668" ht="12.75" customHeight="1">
      <c r="G668" s="50"/>
      <c r="H668" s="50"/>
    </row>
    <row r="669" ht="12.75" customHeight="1">
      <c r="G669" s="50"/>
      <c r="H669" s="50"/>
    </row>
    <row r="670" ht="12.75" customHeight="1">
      <c r="G670" s="50"/>
      <c r="H670" s="50"/>
    </row>
    <row r="671" ht="12.75" customHeight="1">
      <c r="G671" s="50"/>
      <c r="H671" s="50"/>
    </row>
    <row r="672" ht="12.75" customHeight="1">
      <c r="G672" s="50"/>
      <c r="H672" s="50"/>
    </row>
    <row r="673" ht="12.75" customHeight="1">
      <c r="G673" s="50"/>
      <c r="H673" s="50"/>
    </row>
    <row r="674" ht="12.75" customHeight="1">
      <c r="G674" s="50"/>
      <c r="H674" s="50"/>
    </row>
    <row r="675" ht="12.75" customHeight="1">
      <c r="G675" s="50"/>
      <c r="H675" s="50"/>
    </row>
    <row r="676" ht="12.75" customHeight="1">
      <c r="G676" s="50"/>
      <c r="H676" s="50"/>
    </row>
    <row r="677" ht="12.75" customHeight="1">
      <c r="G677" s="50"/>
      <c r="H677" s="50"/>
    </row>
    <row r="678" ht="12.75" customHeight="1">
      <c r="G678" s="50"/>
      <c r="H678" s="50"/>
    </row>
    <row r="679" ht="12.75" customHeight="1">
      <c r="G679" s="50"/>
      <c r="H679" s="50"/>
    </row>
    <row r="680" ht="12.75" customHeight="1">
      <c r="G680" s="50"/>
      <c r="H680" s="50"/>
    </row>
    <row r="681" ht="12.75" customHeight="1">
      <c r="G681" s="50"/>
      <c r="H681" s="50"/>
    </row>
    <row r="682" ht="12.75" customHeight="1">
      <c r="G682" s="50"/>
      <c r="H682" s="50"/>
    </row>
    <row r="683" ht="12.75" customHeight="1">
      <c r="G683" s="50"/>
      <c r="H683" s="50"/>
    </row>
    <row r="684" ht="12.75" customHeight="1">
      <c r="G684" s="50"/>
      <c r="H684" s="50"/>
    </row>
    <row r="685" ht="12.75" customHeight="1">
      <c r="G685" s="50"/>
      <c r="H685" s="50"/>
    </row>
    <row r="686" ht="12.75" customHeight="1">
      <c r="G686" s="50"/>
      <c r="H686" s="50"/>
    </row>
    <row r="687" ht="12.75" customHeight="1">
      <c r="G687" s="50"/>
      <c r="H687" s="50"/>
    </row>
    <row r="688" ht="12.75" customHeight="1">
      <c r="G688" s="50"/>
      <c r="H688" s="50"/>
    </row>
    <row r="689" ht="12.75" customHeight="1">
      <c r="G689" s="50"/>
      <c r="H689" s="50"/>
    </row>
    <row r="690" ht="12.75" customHeight="1">
      <c r="G690" s="50"/>
      <c r="H690" s="50"/>
    </row>
    <row r="691" ht="12.75" customHeight="1">
      <c r="G691" s="50"/>
      <c r="H691" s="50"/>
    </row>
    <row r="692" ht="12.75" customHeight="1">
      <c r="G692" s="50"/>
      <c r="H692" s="50"/>
    </row>
    <row r="693" ht="12.75" customHeight="1">
      <c r="G693" s="50"/>
      <c r="H693" s="50"/>
    </row>
    <row r="694" ht="12.75" customHeight="1">
      <c r="G694" s="50"/>
      <c r="H694" s="50"/>
    </row>
    <row r="695" ht="12.75" customHeight="1">
      <c r="G695" s="50"/>
      <c r="H695" s="50"/>
    </row>
    <row r="696" ht="12.75" customHeight="1">
      <c r="G696" s="50"/>
      <c r="H696" s="50"/>
    </row>
    <row r="697" ht="12.75" customHeight="1">
      <c r="G697" s="50"/>
      <c r="H697" s="50"/>
    </row>
    <row r="698" ht="12.75" customHeight="1">
      <c r="G698" s="50"/>
      <c r="H698" s="50"/>
    </row>
    <row r="699" ht="12.75" customHeight="1">
      <c r="G699" s="50"/>
      <c r="H699" s="50"/>
    </row>
    <row r="700" ht="12.75" customHeight="1">
      <c r="G700" s="50"/>
      <c r="H700" s="50"/>
    </row>
    <row r="701" ht="12.75" customHeight="1">
      <c r="G701" s="50"/>
      <c r="H701" s="50"/>
    </row>
    <row r="702" ht="12.75" customHeight="1">
      <c r="G702" s="50"/>
      <c r="H702" s="50"/>
    </row>
    <row r="703" ht="12.75" customHeight="1">
      <c r="G703" s="50"/>
      <c r="H703" s="50"/>
    </row>
    <row r="704" ht="12.75" customHeight="1">
      <c r="G704" s="50"/>
      <c r="H704" s="50"/>
    </row>
    <row r="705" ht="12.75" customHeight="1">
      <c r="G705" s="50"/>
      <c r="H705" s="50"/>
    </row>
    <row r="706" ht="12.75" customHeight="1">
      <c r="G706" s="50"/>
      <c r="H706" s="50"/>
    </row>
    <row r="707" ht="12.75" customHeight="1">
      <c r="G707" s="50"/>
      <c r="H707" s="50"/>
    </row>
    <row r="708" ht="12.75" customHeight="1">
      <c r="G708" s="50"/>
      <c r="H708" s="50"/>
    </row>
    <row r="709" ht="12.75" customHeight="1">
      <c r="G709" s="50"/>
      <c r="H709" s="50"/>
    </row>
    <row r="710" ht="12.75" customHeight="1">
      <c r="G710" s="50"/>
      <c r="H710" s="50"/>
    </row>
    <row r="711" ht="12.75" customHeight="1">
      <c r="G711" s="50"/>
      <c r="H711" s="50"/>
    </row>
    <row r="712" ht="12.75" customHeight="1">
      <c r="G712" s="50"/>
      <c r="H712" s="50"/>
    </row>
    <row r="713" ht="12.75" customHeight="1">
      <c r="G713" s="50"/>
      <c r="H713" s="50"/>
    </row>
    <row r="714" ht="12.75" customHeight="1">
      <c r="G714" s="50"/>
      <c r="H714" s="50"/>
    </row>
    <row r="715" ht="12.75" customHeight="1">
      <c r="G715" s="50"/>
      <c r="H715" s="50"/>
    </row>
    <row r="716" ht="12.75" customHeight="1">
      <c r="G716" s="50"/>
      <c r="H716" s="50"/>
    </row>
    <row r="717" ht="12.75" customHeight="1">
      <c r="G717" s="50"/>
      <c r="H717" s="50"/>
    </row>
    <row r="718" ht="12.75" customHeight="1">
      <c r="G718" s="50"/>
      <c r="H718" s="50"/>
    </row>
    <row r="719" ht="12.75" customHeight="1">
      <c r="G719" s="50"/>
      <c r="H719" s="50"/>
    </row>
    <row r="720" ht="12.75" customHeight="1">
      <c r="G720" s="50"/>
      <c r="H720" s="50"/>
    </row>
    <row r="721" ht="12.75" customHeight="1">
      <c r="G721" s="50"/>
      <c r="H721" s="50"/>
    </row>
    <row r="722" ht="12.75" customHeight="1">
      <c r="G722" s="50"/>
      <c r="H722" s="50"/>
    </row>
    <row r="723" ht="12.75" customHeight="1">
      <c r="G723" s="50"/>
      <c r="H723" s="50"/>
    </row>
    <row r="724" ht="12.75" customHeight="1">
      <c r="G724" s="50"/>
      <c r="H724" s="50"/>
    </row>
    <row r="725" ht="12.75" customHeight="1">
      <c r="G725" s="50"/>
      <c r="H725" s="50"/>
    </row>
    <row r="726" ht="12.75" customHeight="1">
      <c r="G726" s="50"/>
      <c r="H726" s="50"/>
    </row>
    <row r="727" ht="12.75" customHeight="1">
      <c r="G727" s="50"/>
      <c r="H727" s="50"/>
    </row>
    <row r="728" ht="12.75" customHeight="1">
      <c r="G728" s="50"/>
      <c r="H728" s="50"/>
    </row>
    <row r="729" ht="12.75" customHeight="1">
      <c r="G729" s="50"/>
      <c r="H729" s="50"/>
    </row>
    <row r="730" ht="12.75" customHeight="1">
      <c r="G730" s="50"/>
      <c r="H730" s="50"/>
    </row>
    <row r="731" ht="12.75" customHeight="1">
      <c r="G731" s="50"/>
      <c r="H731" s="50"/>
    </row>
    <row r="732" ht="12.75" customHeight="1">
      <c r="G732" s="50"/>
      <c r="H732" s="50"/>
    </row>
    <row r="733" ht="12.75" customHeight="1">
      <c r="G733" s="50"/>
      <c r="H733" s="50"/>
    </row>
    <row r="734" ht="12.75" customHeight="1">
      <c r="G734" s="50"/>
      <c r="H734" s="50"/>
    </row>
    <row r="735" ht="12.75" customHeight="1">
      <c r="G735" s="50"/>
      <c r="H735" s="50"/>
    </row>
    <row r="736" ht="12.75" customHeight="1">
      <c r="G736" s="50"/>
      <c r="H736" s="50"/>
    </row>
    <row r="737" ht="12.75" customHeight="1">
      <c r="G737" s="50"/>
      <c r="H737" s="50"/>
    </row>
    <row r="738" ht="12.75" customHeight="1">
      <c r="G738" s="50"/>
      <c r="H738" s="50"/>
    </row>
    <row r="739" ht="12.75" customHeight="1">
      <c r="G739" s="50"/>
      <c r="H739" s="50"/>
    </row>
    <row r="740" ht="12.75" customHeight="1">
      <c r="G740" s="50"/>
      <c r="H740" s="50"/>
    </row>
    <row r="741" ht="12.75" customHeight="1">
      <c r="G741" s="50"/>
      <c r="H741" s="50"/>
    </row>
    <row r="742" ht="12.75" customHeight="1">
      <c r="G742" s="50"/>
      <c r="H742" s="50"/>
    </row>
    <row r="743" ht="12.75" customHeight="1">
      <c r="G743" s="50"/>
      <c r="H743" s="50"/>
    </row>
    <row r="744" ht="12.75" customHeight="1">
      <c r="G744" s="50"/>
      <c r="H744" s="50"/>
    </row>
    <row r="745" ht="12.75" customHeight="1">
      <c r="G745" s="50"/>
      <c r="H745" s="50"/>
    </row>
    <row r="746" ht="12.75" customHeight="1">
      <c r="G746" s="50"/>
      <c r="H746" s="50"/>
    </row>
    <row r="747" ht="12.75" customHeight="1">
      <c r="G747" s="50"/>
      <c r="H747" s="50"/>
    </row>
    <row r="748" ht="12.75" customHeight="1">
      <c r="G748" s="50"/>
      <c r="H748" s="50"/>
    </row>
    <row r="749" ht="12.75" customHeight="1">
      <c r="G749" s="50"/>
      <c r="H749" s="50"/>
    </row>
    <row r="750" ht="12.75" customHeight="1">
      <c r="G750" s="50"/>
      <c r="H750" s="50"/>
    </row>
    <row r="751" ht="12.75" customHeight="1">
      <c r="G751" s="50"/>
      <c r="H751" s="50"/>
    </row>
    <row r="752" ht="12.75" customHeight="1">
      <c r="G752" s="50"/>
      <c r="H752" s="50"/>
    </row>
    <row r="753" ht="12.75" customHeight="1">
      <c r="G753" s="50"/>
      <c r="H753" s="50"/>
    </row>
    <row r="754" ht="12.75" customHeight="1">
      <c r="G754" s="50"/>
      <c r="H754" s="50"/>
    </row>
    <row r="755" ht="12.75" customHeight="1">
      <c r="G755" s="50"/>
      <c r="H755" s="50"/>
    </row>
    <row r="756" ht="12.75" customHeight="1">
      <c r="G756" s="50"/>
      <c r="H756" s="50"/>
    </row>
    <row r="757" ht="12.75" customHeight="1">
      <c r="G757" s="50"/>
      <c r="H757" s="50"/>
    </row>
    <row r="758" ht="12.75" customHeight="1">
      <c r="G758" s="50"/>
      <c r="H758" s="50"/>
    </row>
    <row r="759" ht="12.75" customHeight="1">
      <c r="G759" s="50"/>
      <c r="H759" s="50"/>
    </row>
    <row r="760" ht="12.75" customHeight="1">
      <c r="G760" s="50"/>
      <c r="H760" s="50"/>
    </row>
    <row r="761" ht="12.75" customHeight="1">
      <c r="G761" s="50"/>
      <c r="H761" s="50"/>
    </row>
    <row r="762" ht="12.75" customHeight="1">
      <c r="G762" s="50"/>
      <c r="H762" s="50"/>
    </row>
    <row r="763" ht="12.75" customHeight="1">
      <c r="G763" s="50"/>
      <c r="H763" s="50"/>
    </row>
    <row r="764" ht="12.75" customHeight="1">
      <c r="G764" s="50"/>
      <c r="H764" s="50"/>
    </row>
    <row r="765" ht="12.75" customHeight="1">
      <c r="G765" s="50"/>
      <c r="H765" s="50"/>
    </row>
    <row r="766" ht="12.75" customHeight="1">
      <c r="G766" s="50"/>
      <c r="H766" s="50"/>
    </row>
    <row r="767" ht="12.75" customHeight="1">
      <c r="G767" s="50"/>
      <c r="H767" s="50"/>
    </row>
    <row r="768" ht="12.75" customHeight="1">
      <c r="G768" s="50"/>
      <c r="H768" s="50"/>
    </row>
    <row r="769" ht="12.75" customHeight="1">
      <c r="G769" s="50"/>
      <c r="H769" s="50"/>
    </row>
    <row r="770" ht="12.75" customHeight="1">
      <c r="G770" s="50"/>
      <c r="H770" s="50"/>
    </row>
    <row r="771" ht="12.75" customHeight="1">
      <c r="G771" s="50"/>
      <c r="H771" s="50"/>
    </row>
    <row r="772" ht="12.75" customHeight="1">
      <c r="G772" s="50"/>
      <c r="H772" s="50"/>
    </row>
    <row r="773" ht="12.75" customHeight="1">
      <c r="G773" s="50"/>
      <c r="H773" s="50"/>
    </row>
    <row r="774" ht="12.75" customHeight="1">
      <c r="G774" s="50"/>
      <c r="H774" s="50"/>
    </row>
    <row r="775" ht="12.75" customHeight="1">
      <c r="G775" s="50"/>
      <c r="H775" s="50"/>
    </row>
    <row r="776" ht="12.75" customHeight="1">
      <c r="G776" s="50"/>
      <c r="H776" s="50"/>
    </row>
    <row r="777" ht="12.75" customHeight="1">
      <c r="G777" s="50"/>
      <c r="H777" s="50"/>
    </row>
    <row r="778" ht="12.75" customHeight="1">
      <c r="G778" s="50"/>
      <c r="H778" s="50"/>
    </row>
    <row r="779" ht="12.75" customHeight="1">
      <c r="G779" s="50"/>
      <c r="H779" s="50"/>
    </row>
    <row r="780" ht="12.75" customHeight="1">
      <c r="G780" s="50"/>
      <c r="H780" s="50"/>
    </row>
    <row r="781" ht="12.75" customHeight="1">
      <c r="G781" s="50"/>
      <c r="H781" s="50"/>
    </row>
    <row r="782" ht="12.75" customHeight="1">
      <c r="G782" s="50"/>
      <c r="H782" s="50"/>
    </row>
    <row r="783" ht="12.75" customHeight="1">
      <c r="G783" s="50"/>
      <c r="H783" s="50"/>
    </row>
    <row r="784" ht="12.75" customHeight="1">
      <c r="G784" s="50"/>
      <c r="H784" s="50"/>
    </row>
    <row r="785" ht="12.75" customHeight="1">
      <c r="G785" s="50"/>
      <c r="H785" s="50"/>
    </row>
    <row r="786" ht="12.75" customHeight="1">
      <c r="G786" s="50"/>
      <c r="H786" s="50"/>
    </row>
    <row r="787" ht="12.75" customHeight="1">
      <c r="G787" s="50"/>
      <c r="H787" s="50"/>
    </row>
    <row r="788" ht="12.75" customHeight="1">
      <c r="G788" s="50"/>
      <c r="H788" s="50"/>
    </row>
    <row r="789" ht="12.75" customHeight="1">
      <c r="G789" s="50"/>
      <c r="H789" s="50"/>
    </row>
    <row r="790" ht="12.75" customHeight="1">
      <c r="G790" s="50"/>
      <c r="H790" s="50"/>
    </row>
    <row r="791" ht="12.75" customHeight="1">
      <c r="G791" s="50"/>
      <c r="H791" s="50"/>
    </row>
    <row r="792" ht="12.75" customHeight="1">
      <c r="G792" s="50"/>
      <c r="H792" s="50"/>
    </row>
    <row r="793" ht="12.75" customHeight="1">
      <c r="G793" s="50"/>
      <c r="H793" s="50"/>
    </row>
    <row r="794" ht="12.75" customHeight="1">
      <c r="G794" s="50"/>
      <c r="H794" s="50"/>
    </row>
    <row r="795" ht="12.75" customHeight="1">
      <c r="G795" s="50"/>
      <c r="H795" s="50"/>
    </row>
    <row r="796" ht="12.75" customHeight="1">
      <c r="G796" s="50"/>
      <c r="H796" s="50"/>
    </row>
    <row r="797" ht="12.75" customHeight="1">
      <c r="G797" s="50"/>
      <c r="H797" s="50"/>
    </row>
    <row r="798" ht="12.75" customHeight="1">
      <c r="G798" s="50"/>
      <c r="H798" s="50"/>
    </row>
    <row r="799" ht="12.75" customHeight="1">
      <c r="G799" s="50"/>
      <c r="H799" s="50"/>
    </row>
    <row r="800" ht="12.75" customHeight="1">
      <c r="G800" s="50"/>
      <c r="H800" s="50"/>
    </row>
    <row r="801" ht="12.75" customHeight="1">
      <c r="G801" s="50"/>
      <c r="H801" s="50"/>
    </row>
    <row r="802" ht="12.75" customHeight="1">
      <c r="G802" s="50"/>
      <c r="H802" s="50"/>
    </row>
    <row r="803" ht="12.75" customHeight="1">
      <c r="G803" s="50"/>
      <c r="H803" s="50"/>
    </row>
    <row r="804" ht="12.75" customHeight="1">
      <c r="G804" s="50"/>
      <c r="H804" s="50"/>
    </row>
    <row r="805" ht="12.75" customHeight="1">
      <c r="G805" s="50"/>
      <c r="H805" s="50"/>
    </row>
    <row r="806" ht="12.75" customHeight="1">
      <c r="G806" s="50"/>
      <c r="H806" s="50"/>
    </row>
    <row r="807" ht="12.75" customHeight="1">
      <c r="G807" s="50"/>
      <c r="H807" s="50"/>
    </row>
    <row r="808" ht="12.75" customHeight="1">
      <c r="G808" s="50"/>
      <c r="H808" s="50"/>
    </row>
    <row r="809" ht="12.75" customHeight="1">
      <c r="G809" s="50"/>
      <c r="H809" s="50"/>
    </row>
    <row r="810" ht="12.75" customHeight="1">
      <c r="G810" s="50"/>
      <c r="H810" s="50"/>
    </row>
    <row r="811" ht="12.75" customHeight="1">
      <c r="G811" s="50"/>
      <c r="H811" s="50"/>
    </row>
    <row r="812" ht="12.75" customHeight="1">
      <c r="G812" s="50"/>
      <c r="H812" s="50"/>
    </row>
    <row r="813" ht="12.75" customHeight="1">
      <c r="G813" s="50"/>
      <c r="H813" s="50"/>
    </row>
    <row r="814" ht="12.75" customHeight="1">
      <c r="G814" s="50"/>
      <c r="H814" s="50"/>
    </row>
    <row r="815" ht="12.75" customHeight="1">
      <c r="G815" s="50"/>
      <c r="H815" s="50"/>
    </row>
    <row r="816" ht="12.75" customHeight="1">
      <c r="G816" s="50"/>
      <c r="H816" s="50"/>
    </row>
    <row r="817" ht="12.75" customHeight="1">
      <c r="G817" s="50"/>
      <c r="H817" s="50"/>
    </row>
    <row r="818" ht="12.75" customHeight="1">
      <c r="G818" s="50"/>
      <c r="H818" s="50"/>
    </row>
    <row r="819" ht="12.75" customHeight="1">
      <c r="G819" s="50"/>
      <c r="H819" s="50"/>
    </row>
    <row r="820" ht="12.75" customHeight="1">
      <c r="G820" s="50"/>
      <c r="H820" s="50"/>
    </row>
    <row r="821" ht="12.75" customHeight="1">
      <c r="G821" s="50"/>
      <c r="H821" s="50"/>
    </row>
    <row r="822" ht="12.75" customHeight="1">
      <c r="G822" s="50"/>
      <c r="H822" s="50"/>
    </row>
    <row r="823" ht="12.75" customHeight="1">
      <c r="G823" s="50"/>
      <c r="H823" s="50"/>
    </row>
    <row r="824" ht="12.75" customHeight="1">
      <c r="G824" s="50"/>
      <c r="H824" s="50"/>
    </row>
    <row r="825" ht="12.75" customHeight="1">
      <c r="G825" s="50"/>
      <c r="H825" s="50"/>
    </row>
    <row r="826" ht="12.75" customHeight="1">
      <c r="G826" s="50"/>
      <c r="H826" s="50"/>
    </row>
    <row r="827" ht="12.75" customHeight="1">
      <c r="G827" s="50"/>
      <c r="H827" s="50"/>
    </row>
    <row r="828" ht="12.75" customHeight="1">
      <c r="G828" s="50"/>
      <c r="H828" s="50"/>
    </row>
    <row r="829" ht="12.75" customHeight="1">
      <c r="G829" s="50"/>
      <c r="H829" s="50"/>
    </row>
    <row r="830" ht="12.75" customHeight="1">
      <c r="G830" s="50"/>
      <c r="H830" s="50"/>
    </row>
    <row r="831" ht="12.75" customHeight="1">
      <c r="G831" s="50"/>
      <c r="H831" s="50"/>
    </row>
    <row r="832" ht="12.75" customHeight="1">
      <c r="G832" s="50"/>
      <c r="H832" s="50"/>
    </row>
    <row r="833" ht="12.75" customHeight="1">
      <c r="G833" s="50"/>
      <c r="H833" s="50"/>
    </row>
    <row r="834" ht="12.75" customHeight="1">
      <c r="G834" s="50"/>
      <c r="H834" s="50"/>
    </row>
    <row r="835" ht="12.75" customHeight="1">
      <c r="G835" s="50"/>
      <c r="H835" s="50"/>
    </row>
    <row r="836" ht="12.75" customHeight="1">
      <c r="G836" s="50"/>
      <c r="H836" s="50"/>
    </row>
    <row r="837" ht="12.75" customHeight="1">
      <c r="G837" s="50"/>
      <c r="H837" s="50"/>
    </row>
    <row r="838" ht="12.75" customHeight="1">
      <c r="G838" s="50"/>
      <c r="H838" s="50"/>
    </row>
    <row r="839" ht="12.75" customHeight="1">
      <c r="G839" s="50"/>
      <c r="H839" s="50"/>
    </row>
    <row r="840" ht="12.75" customHeight="1">
      <c r="G840" s="50"/>
      <c r="H840" s="50"/>
    </row>
    <row r="841" ht="12.75" customHeight="1">
      <c r="G841" s="50"/>
      <c r="H841" s="50"/>
    </row>
    <row r="842" ht="12.75" customHeight="1">
      <c r="G842" s="50"/>
      <c r="H842" s="50"/>
    </row>
    <row r="843" ht="12.75" customHeight="1">
      <c r="G843" s="50"/>
      <c r="H843" s="50"/>
    </row>
    <row r="844" ht="12.75" customHeight="1">
      <c r="G844" s="50"/>
      <c r="H844" s="50"/>
    </row>
    <row r="845" ht="12.75" customHeight="1">
      <c r="G845" s="50"/>
      <c r="H845" s="50"/>
    </row>
    <row r="846" ht="12.75" customHeight="1">
      <c r="G846" s="50"/>
      <c r="H846" s="50"/>
    </row>
    <row r="847" ht="12.75" customHeight="1">
      <c r="G847" s="50"/>
      <c r="H847" s="50"/>
    </row>
    <row r="848" ht="12.75" customHeight="1">
      <c r="G848" s="50"/>
      <c r="H848" s="50"/>
    </row>
    <row r="849" ht="12.75" customHeight="1">
      <c r="G849" s="50"/>
      <c r="H849" s="50"/>
    </row>
    <row r="850" ht="12.75" customHeight="1">
      <c r="G850" s="50"/>
      <c r="H850" s="50"/>
    </row>
    <row r="851" ht="12.75" customHeight="1">
      <c r="G851" s="50"/>
      <c r="H851" s="50"/>
    </row>
    <row r="852" ht="12.75" customHeight="1">
      <c r="G852" s="50"/>
      <c r="H852" s="50"/>
    </row>
    <row r="853" ht="12.75" customHeight="1">
      <c r="G853" s="50"/>
      <c r="H853" s="50"/>
    </row>
    <row r="854" ht="12.75" customHeight="1">
      <c r="G854" s="50"/>
      <c r="H854" s="50"/>
    </row>
    <row r="855" ht="12.75" customHeight="1">
      <c r="G855" s="50"/>
      <c r="H855" s="50"/>
    </row>
    <row r="856" ht="12.75" customHeight="1">
      <c r="G856" s="50"/>
      <c r="H856" s="50"/>
    </row>
    <row r="857" ht="12.75" customHeight="1">
      <c r="G857" s="50"/>
      <c r="H857" s="50"/>
    </row>
    <row r="858" ht="12.75" customHeight="1">
      <c r="G858" s="50"/>
      <c r="H858" s="50"/>
    </row>
    <row r="859" ht="12.75" customHeight="1">
      <c r="G859" s="50"/>
      <c r="H859" s="50"/>
    </row>
    <row r="860" ht="12.75" customHeight="1">
      <c r="G860" s="50"/>
      <c r="H860" s="50"/>
    </row>
    <row r="861" ht="12.75" customHeight="1">
      <c r="G861" s="50"/>
      <c r="H861" s="50"/>
    </row>
    <row r="862" ht="12.75" customHeight="1">
      <c r="G862" s="50"/>
      <c r="H862" s="50"/>
    </row>
    <row r="863" ht="12.75" customHeight="1">
      <c r="G863" s="50"/>
      <c r="H863" s="50"/>
    </row>
    <row r="864" ht="12.75" customHeight="1">
      <c r="G864" s="50"/>
      <c r="H864" s="50"/>
    </row>
    <row r="865" ht="12.75" customHeight="1">
      <c r="G865" s="50"/>
      <c r="H865" s="50"/>
    </row>
    <row r="866" ht="12.75" customHeight="1">
      <c r="G866" s="50"/>
      <c r="H866" s="50"/>
    </row>
    <row r="867" ht="12.75" customHeight="1">
      <c r="G867" s="50"/>
      <c r="H867" s="50"/>
    </row>
    <row r="868" ht="12.75" customHeight="1">
      <c r="G868" s="50"/>
      <c r="H868" s="50"/>
    </row>
    <row r="869" ht="12.75" customHeight="1">
      <c r="G869" s="50"/>
      <c r="H869" s="50"/>
    </row>
    <row r="870" ht="12.75" customHeight="1">
      <c r="G870" s="50"/>
      <c r="H870" s="50"/>
    </row>
    <row r="871" ht="12.75" customHeight="1">
      <c r="G871" s="50"/>
      <c r="H871" s="50"/>
    </row>
    <row r="872" ht="12.75" customHeight="1">
      <c r="G872" s="50"/>
      <c r="H872" s="50"/>
    </row>
    <row r="873" ht="12.75" customHeight="1">
      <c r="G873" s="50"/>
      <c r="H873" s="50"/>
    </row>
    <row r="874" ht="12.75" customHeight="1">
      <c r="G874" s="50"/>
      <c r="H874" s="50"/>
    </row>
    <row r="875" ht="12.75" customHeight="1">
      <c r="G875" s="50"/>
      <c r="H875" s="50"/>
    </row>
    <row r="876" ht="12.75" customHeight="1">
      <c r="G876" s="50"/>
      <c r="H876" s="50"/>
    </row>
    <row r="877" ht="12.75" customHeight="1">
      <c r="G877" s="50"/>
      <c r="H877" s="50"/>
    </row>
    <row r="878" ht="12.75" customHeight="1">
      <c r="G878" s="50"/>
      <c r="H878" s="50"/>
    </row>
    <row r="879" ht="12.75" customHeight="1">
      <c r="G879" s="50"/>
      <c r="H879" s="50"/>
    </row>
    <row r="880" ht="12.75" customHeight="1">
      <c r="G880" s="50"/>
      <c r="H880" s="50"/>
    </row>
    <row r="881" ht="12.75" customHeight="1">
      <c r="G881" s="50"/>
      <c r="H881" s="50"/>
    </row>
    <row r="882" ht="12.75" customHeight="1">
      <c r="G882" s="50"/>
      <c r="H882" s="50"/>
    </row>
    <row r="883" ht="12.75" customHeight="1">
      <c r="G883" s="50"/>
      <c r="H883" s="50"/>
    </row>
    <row r="884" ht="12.75" customHeight="1">
      <c r="G884" s="50"/>
      <c r="H884" s="50"/>
    </row>
    <row r="885" ht="12.75" customHeight="1">
      <c r="G885" s="50"/>
      <c r="H885" s="50"/>
    </row>
    <row r="886" ht="12.75" customHeight="1">
      <c r="G886" s="50"/>
      <c r="H886" s="50"/>
    </row>
    <row r="887" ht="12.75" customHeight="1">
      <c r="G887" s="50"/>
      <c r="H887" s="50"/>
    </row>
    <row r="888" ht="12.75" customHeight="1">
      <c r="G888" s="50"/>
      <c r="H888" s="50"/>
    </row>
    <row r="889" ht="12.75" customHeight="1">
      <c r="G889" s="50"/>
      <c r="H889" s="50"/>
    </row>
    <row r="890" ht="12.75" customHeight="1">
      <c r="G890" s="50"/>
      <c r="H890" s="50"/>
    </row>
    <row r="891" ht="12.75" customHeight="1">
      <c r="G891" s="50"/>
      <c r="H891" s="50"/>
    </row>
    <row r="892" ht="12.75" customHeight="1">
      <c r="G892" s="50"/>
      <c r="H892" s="50"/>
    </row>
    <row r="893" ht="12.75" customHeight="1">
      <c r="G893" s="50"/>
      <c r="H893" s="50"/>
    </row>
    <row r="894" ht="12.75" customHeight="1">
      <c r="G894" s="50"/>
      <c r="H894" s="50"/>
    </row>
    <row r="895" ht="12.75" customHeight="1">
      <c r="G895" s="50"/>
      <c r="H895" s="50"/>
    </row>
    <row r="896" ht="12.75" customHeight="1">
      <c r="G896" s="50"/>
      <c r="H896" s="50"/>
    </row>
    <row r="897" ht="12.75" customHeight="1">
      <c r="G897" s="50"/>
      <c r="H897" s="50"/>
    </row>
    <row r="898" ht="12.75" customHeight="1">
      <c r="G898" s="50"/>
      <c r="H898" s="50"/>
    </row>
    <row r="899" ht="12.75" customHeight="1">
      <c r="G899" s="50"/>
      <c r="H899" s="50"/>
    </row>
    <row r="900" ht="12.75" customHeight="1">
      <c r="G900" s="50"/>
      <c r="H900" s="50"/>
    </row>
    <row r="901" ht="12.75" customHeight="1">
      <c r="G901" s="50"/>
      <c r="H901" s="50"/>
    </row>
    <row r="902" ht="12.75" customHeight="1">
      <c r="G902" s="50"/>
      <c r="H902" s="50"/>
    </row>
    <row r="903" ht="12.75" customHeight="1">
      <c r="G903" s="50"/>
      <c r="H903" s="50"/>
    </row>
    <row r="904" ht="12.75" customHeight="1">
      <c r="G904" s="50"/>
      <c r="H904" s="50"/>
    </row>
    <row r="905" ht="12.75" customHeight="1">
      <c r="G905" s="50"/>
      <c r="H905" s="50"/>
    </row>
    <row r="906" ht="12.75" customHeight="1">
      <c r="G906" s="50"/>
      <c r="H906" s="50"/>
    </row>
    <row r="907" ht="12.75" customHeight="1">
      <c r="G907" s="50"/>
      <c r="H907" s="50"/>
    </row>
    <row r="908" ht="12.75" customHeight="1">
      <c r="G908" s="50"/>
      <c r="H908" s="50"/>
    </row>
    <row r="909" ht="12.75" customHeight="1">
      <c r="G909" s="50"/>
      <c r="H909" s="50"/>
    </row>
    <row r="910" ht="12.75" customHeight="1">
      <c r="G910" s="50"/>
      <c r="H910" s="50"/>
    </row>
    <row r="911" ht="12.75" customHeight="1">
      <c r="G911" s="50"/>
      <c r="H911" s="50"/>
    </row>
    <row r="912" ht="12.75" customHeight="1">
      <c r="G912" s="50"/>
      <c r="H912" s="50"/>
    </row>
    <row r="913" ht="12.75" customHeight="1">
      <c r="G913" s="50"/>
      <c r="H913" s="50"/>
    </row>
    <row r="914" ht="12.75" customHeight="1">
      <c r="G914" s="50"/>
      <c r="H914" s="50"/>
    </row>
    <row r="915" ht="12.75" customHeight="1">
      <c r="G915" s="50"/>
      <c r="H915" s="50"/>
    </row>
    <row r="916" ht="12.75" customHeight="1">
      <c r="G916" s="50"/>
      <c r="H916" s="50"/>
    </row>
    <row r="917" ht="12.75" customHeight="1">
      <c r="G917" s="50"/>
      <c r="H917" s="50"/>
    </row>
    <row r="918" ht="12.75" customHeight="1">
      <c r="G918" s="50"/>
      <c r="H918" s="50"/>
    </row>
    <row r="919" ht="12.75" customHeight="1">
      <c r="G919" s="50"/>
      <c r="H919" s="50"/>
    </row>
    <row r="920" ht="12.75" customHeight="1">
      <c r="G920" s="50"/>
      <c r="H920" s="50"/>
    </row>
    <row r="921" ht="12.75" customHeight="1">
      <c r="G921" s="50"/>
      <c r="H921" s="50"/>
    </row>
    <row r="922" ht="12.75" customHeight="1">
      <c r="G922" s="50"/>
      <c r="H922" s="50"/>
    </row>
    <row r="923" ht="12.75" customHeight="1">
      <c r="G923" s="50"/>
      <c r="H923" s="50"/>
    </row>
    <row r="924" ht="12.75" customHeight="1">
      <c r="G924" s="50"/>
      <c r="H924" s="50"/>
    </row>
    <row r="925" ht="12.75" customHeight="1">
      <c r="G925" s="50"/>
      <c r="H925" s="50"/>
    </row>
    <row r="926" ht="12.75" customHeight="1">
      <c r="G926" s="50"/>
      <c r="H926" s="50"/>
    </row>
    <row r="927" ht="12.75" customHeight="1">
      <c r="G927" s="50"/>
      <c r="H927" s="50"/>
    </row>
    <row r="928" ht="12.75" customHeight="1">
      <c r="G928" s="50"/>
      <c r="H928" s="50"/>
    </row>
    <row r="929" ht="12.75" customHeight="1">
      <c r="G929" s="50"/>
      <c r="H929" s="50"/>
    </row>
    <row r="930" ht="12.75" customHeight="1">
      <c r="G930" s="50"/>
      <c r="H930" s="50"/>
    </row>
    <row r="931" ht="12.75" customHeight="1">
      <c r="G931" s="50"/>
      <c r="H931" s="50"/>
    </row>
    <row r="932" ht="12.75" customHeight="1">
      <c r="G932" s="50"/>
      <c r="H932" s="50"/>
    </row>
    <row r="933" ht="12.75" customHeight="1">
      <c r="G933" s="50"/>
      <c r="H933" s="50"/>
    </row>
    <row r="934" ht="12.75" customHeight="1">
      <c r="G934" s="50"/>
      <c r="H934" s="50"/>
    </row>
    <row r="935" ht="12.75" customHeight="1">
      <c r="G935" s="50"/>
      <c r="H935" s="50"/>
    </row>
    <row r="936" ht="12.75" customHeight="1">
      <c r="G936" s="50"/>
      <c r="H936" s="50"/>
    </row>
    <row r="937" ht="12.75" customHeight="1">
      <c r="G937" s="50"/>
      <c r="H937" s="50"/>
    </row>
    <row r="938" ht="12.75" customHeight="1">
      <c r="G938" s="50"/>
      <c r="H938" s="50"/>
    </row>
    <row r="939" ht="12.75" customHeight="1">
      <c r="G939" s="50"/>
      <c r="H939" s="50"/>
    </row>
    <row r="940" ht="12.75" customHeight="1">
      <c r="G940" s="50"/>
      <c r="H940" s="50"/>
    </row>
    <row r="941" ht="12.75" customHeight="1">
      <c r="G941" s="50"/>
      <c r="H941" s="50"/>
    </row>
    <row r="942" ht="12.75" customHeight="1">
      <c r="G942" s="50"/>
      <c r="H942" s="50"/>
    </row>
    <row r="943" ht="12.75" customHeight="1">
      <c r="G943" s="50"/>
      <c r="H943" s="50"/>
    </row>
    <row r="944" ht="12.75" customHeight="1">
      <c r="G944" s="50"/>
      <c r="H944" s="50"/>
    </row>
    <row r="945" ht="12.75" customHeight="1">
      <c r="G945" s="50"/>
      <c r="H945" s="50"/>
    </row>
    <row r="946" ht="12.75" customHeight="1">
      <c r="G946" s="50"/>
      <c r="H946" s="50"/>
    </row>
    <row r="947" ht="12.75" customHeight="1">
      <c r="G947" s="50"/>
      <c r="H947" s="50"/>
    </row>
    <row r="948" ht="12.75" customHeight="1">
      <c r="G948" s="50"/>
      <c r="H948" s="50"/>
    </row>
    <row r="949" ht="12.75" customHeight="1">
      <c r="G949" s="50"/>
      <c r="H949" s="50"/>
    </row>
    <row r="950" ht="12.75" customHeight="1">
      <c r="G950" s="50"/>
      <c r="H950" s="50"/>
    </row>
    <row r="951" ht="12.75" customHeight="1">
      <c r="G951" s="50"/>
      <c r="H951" s="50"/>
    </row>
    <row r="952" ht="12.75" customHeight="1">
      <c r="G952" s="50"/>
      <c r="H952" s="50"/>
    </row>
    <row r="953" ht="12.75" customHeight="1">
      <c r="G953" s="50"/>
      <c r="H953" s="50"/>
    </row>
    <row r="954" ht="12.75" customHeight="1">
      <c r="G954" s="50"/>
      <c r="H954" s="50"/>
    </row>
    <row r="955" ht="12.75" customHeight="1">
      <c r="G955" s="50"/>
      <c r="H955" s="50"/>
    </row>
    <row r="956" ht="12.75" customHeight="1">
      <c r="G956" s="50"/>
      <c r="H956" s="50"/>
    </row>
    <row r="957" ht="12.75" customHeight="1">
      <c r="G957" s="50"/>
      <c r="H957" s="50"/>
    </row>
    <row r="958" ht="12.75" customHeight="1">
      <c r="G958" s="50"/>
      <c r="H958" s="50"/>
    </row>
    <row r="959" ht="12.75" customHeight="1">
      <c r="G959" s="50"/>
      <c r="H959" s="50"/>
    </row>
    <row r="960" ht="12.75" customHeight="1">
      <c r="G960" s="50"/>
      <c r="H960" s="50"/>
    </row>
    <row r="961" ht="12.75" customHeight="1">
      <c r="G961" s="50"/>
      <c r="H961" s="50"/>
    </row>
    <row r="962" ht="12.75" customHeight="1">
      <c r="G962" s="50"/>
      <c r="H962" s="50"/>
    </row>
    <row r="963" ht="12.75" customHeight="1">
      <c r="G963" s="50"/>
      <c r="H963" s="50"/>
    </row>
    <row r="964" ht="12.75" customHeight="1">
      <c r="G964" s="50"/>
      <c r="H964" s="50"/>
    </row>
    <row r="965" ht="12.75" customHeight="1">
      <c r="G965" s="50"/>
      <c r="H965" s="50"/>
    </row>
    <row r="966" ht="12.75" customHeight="1">
      <c r="G966" s="50"/>
      <c r="H966" s="50"/>
    </row>
    <row r="967" ht="12.75" customHeight="1">
      <c r="G967" s="50"/>
      <c r="H967" s="50"/>
    </row>
    <row r="968" ht="12.75" customHeight="1">
      <c r="G968" s="50"/>
      <c r="H968" s="50"/>
    </row>
    <row r="969" ht="12.75" customHeight="1">
      <c r="G969" s="50"/>
      <c r="H969" s="50"/>
    </row>
    <row r="970" ht="12.75" customHeight="1">
      <c r="G970" s="50"/>
      <c r="H970" s="50"/>
    </row>
    <row r="971" ht="12.75" customHeight="1">
      <c r="G971" s="50"/>
      <c r="H971" s="50"/>
    </row>
    <row r="972" ht="12.75" customHeight="1">
      <c r="G972" s="50"/>
      <c r="H972" s="50"/>
    </row>
    <row r="973" ht="12.75" customHeight="1">
      <c r="G973" s="50"/>
      <c r="H973" s="50"/>
    </row>
    <row r="974" ht="12.75" customHeight="1">
      <c r="G974" s="50"/>
      <c r="H974" s="50"/>
    </row>
    <row r="975" ht="12.75" customHeight="1">
      <c r="G975" s="50"/>
      <c r="H975" s="50"/>
    </row>
    <row r="976" ht="12.75" customHeight="1">
      <c r="G976" s="50"/>
      <c r="H976" s="50"/>
    </row>
    <row r="977" ht="12.75" customHeight="1">
      <c r="G977" s="50"/>
      <c r="H977" s="50"/>
    </row>
    <row r="978" ht="12.75" customHeight="1">
      <c r="G978" s="50"/>
      <c r="H978" s="50"/>
    </row>
    <row r="979" ht="12.75" customHeight="1">
      <c r="G979" s="50"/>
      <c r="H979" s="50"/>
    </row>
    <row r="980" ht="12.75" customHeight="1">
      <c r="G980" s="50"/>
      <c r="H980" s="50"/>
    </row>
    <row r="981" ht="12.75" customHeight="1">
      <c r="G981" s="50"/>
      <c r="H981" s="50"/>
    </row>
    <row r="982" ht="12.75" customHeight="1">
      <c r="G982" s="50"/>
      <c r="H982" s="50"/>
    </row>
    <row r="983" ht="12.75" customHeight="1">
      <c r="G983" s="50"/>
      <c r="H983" s="50"/>
    </row>
    <row r="984" ht="12.75" customHeight="1">
      <c r="G984" s="50"/>
      <c r="H984" s="50"/>
    </row>
    <row r="985" ht="12.75" customHeight="1">
      <c r="G985" s="50"/>
      <c r="H985" s="50"/>
    </row>
    <row r="986" ht="12.75" customHeight="1">
      <c r="G986" s="50"/>
      <c r="H986" s="50"/>
    </row>
    <row r="987" ht="12.75" customHeight="1">
      <c r="G987" s="50"/>
      <c r="H987" s="50"/>
    </row>
    <row r="988" ht="12.75" customHeight="1">
      <c r="G988" s="50"/>
      <c r="H988" s="50"/>
    </row>
    <row r="989" ht="12.75" customHeight="1">
      <c r="G989" s="50"/>
      <c r="H989" s="50"/>
    </row>
    <row r="990" ht="12.75" customHeight="1">
      <c r="G990" s="50"/>
      <c r="H990" s="50"/>
    </row>
    <row r="991" ht="12.75" customHeight="1">
      <c r="G991" s="50"/>
      <c r="H991" s="50"/>
    </row>
    <row r="992" ht="12.75" customHeight="1">
      <c r="G992" s="50"/>
      <c r="H992" s="50"/>
    </row>
  </sheetData>
  <mergeCells count="1">
    <mergeCell ref="B19:B20"/>
  </mergeCells>
  <printOptions/>
  <pageMargins bottom="0.75" footer="0.0" header="0.0" left="0.7" right="0.7" top="0.75"/>
  <pageSetup orientation="landscape"/>
  <drawing r:id="rId1"/>
</worksheet>
</file>